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Invoices" sheetId="2" r:id="rId5"/>
    <sheet name="Customers" sheetId="3" r:id="rId6"/>
    <sheet name="Summary" sheetId="4" r:id="rId7"/>
    <sheet name="ByRegion" sheetId="5" r:id="rId8"/>
    <sheet name="ByCategory" sheetId="6" r:id="rId9"/>
    <sheet name="BySegment" sheetId="7" r:id="rId10"/>
    <sheet name="TopCustomers" sheetId="8" r:id="rId11"/>
    <sheet name="MonthlyTrend" sheetId="9" r:id="rId12"/>
  </sheets>
  <calcPr calcId="122211"/>
</workbook>
</file>

<file path=xl/sharedStrings.xml><?xml version="1.0" encoding="utf-8"?>
<sst xmlns="http://schemas.openxmlformats.org/spreadsheetml/2006/main" count="355" uniqueCount="355">
  <si>
    <t>InvoiceID</t>
  </si>
  <si>
    <t>Date</t>
  </si>
  <si>
    <t>CustomerID</t>
  </si>
  <si>
    <t>Product</t>
  </si>
  <si>
    <t>Category</t>
  </si>
  <si>
    <t>Region</t>
  </si>
  <si>
    <t>Quantity</t>
  </si>
  <si>
    <t>UnitPrice</t>
  </si>
  <si>
    <t>Total</t>
  </si>
  <si>
    <t>INV0001</t>
  </si>
  <si>
    <t>2024-02-02</t>
  </si>
  <si>
    <t>CUST002</t>
  </si>
  <si>
    <t>Desktop PC</t>
  </si>
  <si>
    <t>Hardware</t>
  </si>
  <si>
    <t>South</t>
  </si>
  <si>
    <t>INV0002</t>
  </si>
  <si>
    <t>2024-03-03</t>
  </si>
  <si>
    <t>CUST003</t>
  </si>
  <si>
    <t>Cloud Suite</t>
  </si>
  <si>
    <t>Software</t>
  </si>
  <si>
    <t>East</t>
  </si>
  <si>
    <t>INV0003</t>
  </si>
  <si>
    <t>2024-04-04</t>
  </si>
  <si>
    <t>CUST004</t>
  </si>
  <si>
    <t>Consulting</t>
  </si>
  <si>
    <t>Services</t>
  </si>
  <si>
    <t>West</t>
  </si>
  <si>
    <t>INV0004</t>
  </si>
  <si>
    <t>2024-05-05</t>
  </si>
  <si>
    <t>CUST005</t>
  </si>
  <si>
    <t>Monitor 27</t>
  </si>
  <si>
    <t>Electronics</t>
  </si>
  <si>
    <t>North</t>
  </si>
  <si>
    <t>INV0005</t>
  </si>
  <si>
    <t>2024-06-06</t>
  </si>
  <si>
    <t>CUST006</t>
  </si>
  <si>
    <t>Server Rack</t>
  </si>
  <si>
    <t>INV0006</t>
  </si>
  <si>
    <t>2024-07-07</t>
  </si>
  <si>
    <t>CUST007</t>
  </si>
  <si>
    <t>Security SW</t>
  </si>
  <si>
    <t>INV0007</t>
  </si>
  <si>
    <t>2024-08-08</t>
  </si>
  <si>
    <t>CUST008</t>
  </si>
  <si>
    <t>Training</t>
  </si>
  <si>
    <t>INV0008</t>
  </si>
  <si>
    <t>2024-09-09</t>
  </si>
  <si>
    <t>CUST009</t>
  </si>
  <si>
    <t>Tablet X</t>
  </si>
  <si>
    <t>INV0009</t>
  </si>
  <si>
    <t>2024-10-10</t>
  </si>
  <si>
    <t>CUST010</t>
  </si>
  <si>
    <t>NAS Storage</t>
  </si>
  <si>
    <t>INV0010</t>
  </si>
  <si>
    <t>2024-11-11</t>
  </si>
  <si>
    <t>CUST011</t>
  </si>
  <si>
    <t>Laptop Pro</t>
  </si>
  <si>
    <t>INV0011</t>
  </si>
  <si>
    <t>2024-12-12</t>
  </si>
  <si>
    <t>CUST012</t>
  </si>
  <si>
    <t>INV0012</t>
  </si>
  <si>
    <t>2024-01-13</t>
  </si>
  <si>
    <t>CUST013</t>
  </si>
  <si>
    <t>INV0013</t>
  </si>
  <si>
    <t>2024-02-14</t>
  </si>
  <si>
    <t>CUST014</t>
  </si>
  <si>
    <t>INV0014</t>
  </si>
  <si>
    <t>2024-03-15</t>
  </si>
  <si>
    <t>CUST015</t>
  </si>
  <si>
    <t>INV0015</t>
  </si>
  <si>
    <t>2024-04-16</t>
  </si>
  <si>
    <t>CUST016</t>
  </si>
  <si>
    <t>INV0016</t>
  </si>
  <si>
    <t>2024-05-17</t>
  </si>
  <si>
    <t>CUST017</t>
  </si>
  <si>
    <t>INV0017</t>
  </si>
  <si>
    <t>2024-06-18</t>
  </si>
  <si>
    <t>CUST018</t>
  </si>
  <si>
    <t>INV0018</t>
  </si>
  <si>
    <t>2024-07-19</t>
  </si>
  <si>
    <t>CUST019</t>
  </si>
  <si>
    <t>INV0019</t>
  </si>
  <si>
    <t>2024-08-20</t>
  </si>
  <si>
    <t>CUST020</t>
  </si>
  <si>
    <t>INV0020</t>
  </si>
  <si>
    <t>2024-09-21</t>
  </si>
  <si>
    <t>CUST001</t>
  </si>
  <si>
    <t>INV0021</t>
  </si>
  <si>
    <t>2024-10-22</t>
  </si>
  <si>
    <t>INV0022</t>
  </si>
  <si>
    <t>2024-11-23</t>
  </si>
  <si>
    <t>INV0023</t>
  </si>
  <si>
    <t>2024-12-24</t>
  </si>
  <si>
    <t>INV0024</t>
  </si>
  <si>
    <t>2024-01-25</t>
  </si>
  <si>
    <t>INV0025</t>
  </si>
  <si>
    <t>2024-02-26</t>
  </si>
  <si>
    <t>INV0026</t>
  </si>
  <si>
    <t>2024-03-27</t>
  </si>
  <si>
    <t>INV0027</t>
  </si>
  <si>
    <t>2024-04-28</t>
  </si>
  <si>
    <t>INV0028</t>
  </si>
  <si>
    <t>2024-05-01</t>
  </si>
  <si>
    <t>INV0029</t>
  </si>
  <si>
    <t>2024-06-02</t>
  </si>
  <si>
    <t>INV0030</t>
  </si>
  <si>
    <t>2024-07-03</t>
  </si>
  <si>
    <t>INV0031</t>
  </si>
  <si>
    <t>2024-08-04</t>
  </si>
  <si>
    <t>INV0032</t>
  </si>
  <si>
    <t>2024-09-05</t>
  </si>
  <si>
    <t>INV0033</t>
  </si>
  <si>
    <t>2024-10-06</t>
  </si>
  <si>
    <t>INV0034</t>
  </si>
  <si>
    <t>2024-11-07</t>
  </si>
  <si>
    <t>INV0035</t>
  </si>
  <si>
    <t>2024-12-08</t>
  </si>
  <si>
    <t>INV0036</t>
  </si>
  <si>
    <t>2024-01-09</t>
  </si>
  <si>
    <t>INV0037</t>
  </si>
  <si>
    <t>2024-02-10</t>
  </si>
  <si>
    <t>INV0038</t>
  </si>
  <si>
    <t>2024-03-11</t>
  </si>
  <si>
    <t>INV0039</t>
  </si>
  <si>
    <t>2024-04-12</t>
  </si>
  <si>
    <t>INV0040</t>
  </si>
  <si>
    <t>2024-05-13</t>
  </si>
  <si>
    <t>INV0041</t>
  </si>
  <si>
    <t>2024-06-14</t>
  </si>
  <si>
    <t>INV0042</t>
  </si>
  <si>
    <t>2024-07-15</t>
  </si>
  <si>
    <t>INV0043</t>
  </si>
  <si>
    <t>2024-08-16</t>
  </si>
  <si>
    <t>INV0044</t>
  </si>
  <si>
    <t>2024-09-17</t>
  </si>
  <si>
    <t>INV0045</t>
  </si>
  <si>
    <t>2024-10-18</t>
  </si>
  <si>
    <t>INV0046</t>
  </si>
  <si>
    <t>2024-11-19</t>
  </si>
  <si>
    <t>INV0047</t>
  </si>
  <si>
    <t>2024-12-20</t>
  </si>
  <si>
    <t>INV0048</t>
  </si>
  <si>
    <t>2024-01-21</t>
  </si>
  <si>
    <t>INV0049</t>
  </si>
  <si>
    <t>2024-02-22</t>
  </si>
  <si>
    <t>INV0050</t>
  </si>
  <si>
    <t>2024-03-23</t>
  </si>
  <si>
    <t>INV0051</t>
  </si>
  <si>
    <t>2024-04-24</t>
  </si>
  <si>
    <t>INV0052</t>
  </si>
  <si>
    <t>2024-05-25</t>
  </si>
  <si>
    <t>INV0053</t>
  </si>
  <si>
    <t>2024-06-26</t>
  </si>
  <si>
    <t>INV0054</t>
  </si>
  <si>
    <t>2024-07-27</t>
  </si>
  <si>
    <t>INV0055</t>
  </si>
  <si>
    <t>2024-08-28</t>
  </si>
  <si>
    <t>INV0056</t>
  </si>
  <si>
    <t>2024-09-01</t>
  </si>
  <si>
    <t>INV0057</t>
  </si>
  <si>
    <t>2024-10-02</t>
  </si>
  <si>
    <t>INV0058</t>
  </si>
  <si>
    <t>2024-11-03</t>
  </si>
  <si>
    <t>INV0059</t>
  </si>
  <si>
    <t>2024-12-04</t>
  </si>
  <si>
    <t>INV0060</t>
  </si>
  <si>
    <t>2024-01-05</t>
  </si>
  <si>
    <t>INV0061</t>
  </si>
  <si>
    <t>2024-02-06</t>
  </si>
  <si>
    <t>INV0062</t>
  </si>
  <si>
    <t>2024-03-07</t>
  </si>
  <si>
    <t>INV0063</t>
  </si>
  <si>
    <t>2024-04-08</t>
  </si>
  <si>
    <t>INV0064</t>
  </si>
  <si>
    <t>2024-05-09</t>
  </si>
  <si>
    <t>INV0065</t>
  </si>
  <si>
    <t>2024-06-10</t>
  </si>
  <si>
    <t>INV0066</t>
  </si>
  <si>
    <t>2024-07-11</t>
  </si>
  <si>
    <t>INV0067</t>
  </si>
  <si>
    <t>2024-08-12</t>
  </si>
  <si>
    <t>INV0068</t>
  </si>
  <si>
    <t>2024-09-13</t>
  </si>
  <si>
    <t>INV0069</t>
  </si>
  <si>
    <t>2024-10-14</t>
  </si>
  <si>
    <t>INV0070</t>
  </si>
  <si>
    <t>2024-11-15</t>
  </si>
  <si>
    <t>INV0071</t>
  </si>
  <si>
    <t>2024-12-16</t>
  </si>
  <si>
    <t>INV0072</t>
  </si>
  <si>
    <t>2024-01-17</t>
  </si>
  <si>
    <t>INV0073</t>
  </si>
  <si>
    <t>2024-02-18</t>
  </si>
  <si>
    <t>INV0074</t>
  </si>
  <si>
    <t>2024-03-19</t>
  </si>
  <si>
    <t>INV0075</t>
  </si>
  <si>
    <t>2024-04-20</t>
  </si>
  <si>
    <t>INV0076</t>
  </si>
  <si>
    <t>2024-05-21</t>
  </si>
  <si>
    <t>INV0077</t>
  </si>
  <si>
    <t>2024-06-22</t>
  </si>
  <si>
    <t>INV0078</t>
  </si>
  <si>
    <t>2024-07-23</t>
  </si>
  <si>
    <t>INV0079</t>
  </si>
  <si>
    <t>2024-08-24</t>
  </si>
  <si>
    <t>INV0080</t>
  </si>
  <si>
    <t>2024-09-25</t>
  </si>
  <si>
    <t>INV0081</t>
  </si>
  <si>
    <t>2024-10-26</t>
  </si>
  <si>
    <t>INV0082</t>
  </si>
  <si>
    <t>2024-11-27</t>
  </si>
  <si>
    <t>INV0083</t>
  </si>
  <si>
    <t>2024-12-28</t>
  </si>
  <si>
    <t>INV0084</t>
  </si>
  <si>
    <t>2024-01-01</t>
  </si>
  <si>
    <t>INV0085</t>
  </si>
  <si>
    <t>INV0086</t>
  </si>
  <si>
    <t>INV0087</t>
  </si>
  <si>
    <t>INV0088</t>
  </si>
  <si>
    <t>INV0089</t>
  </si>
  <si>
    <t>INV0090</t>
  </si>
  <si>
    <t>INV0091</t>
  </si>
  <si>
    <t>INV0092</t>
  </si>
  <si>
    <t>INV0093</t>
  </si>
  <si>
    <t>INV0094</t>
  </si>
  <si>
    <t>INV0095</t>
  </si>
  <si>
    <t>INV0096</t>
  </si>
  <si>
    <t>INV0097</t>
  </si>
  <si>
    <t>INV0098</t>
  </si>
  <si>
    <t>INV0099</t>
  </si>
  <si>
    <t>INV0100</t>
  </si>
  <si>
    <t>CustomerName</t>
  </si>
  <si>
    <t>Segment</t>
  </si>
  <si>
    <t>Customer 1 Inc</t>
  </si>
  <si>
    <t>SMB</t>
  </si>
  <si>
    <t>Customer 2 Inc</t>
  </si>
  <si>
    <t>Startup</t>
  </si>
  <si>
    <t>Customer 3 Inc</t>
  </si>
  <si>
    <t>Enterprise</t>
  </si>
  <si>
    <t>Customer 4 Inc</t>
  </si>
  <si>
    <t>Customer 5 Inc</t>
  </si>
  <si>
    <t>Customer 6 Inc</t>
  </si>
  <si>
    <t>Customer 7 Inc</t>
  </si>
  <si>
    <t>Customer 8 Inc</t>
  </si>
  <si>
    <t>Customer 9 Inc</t>
  </si>
  <si>
    <t>Customer 10 Inc</t>
  </si>
  <si>
    <t>Customer 11 Inc</t>
  </si>
  <si>
    <t>Customer 12 Inc</t>
  </si>
  <si>
    <t>Customer 13 Inc</t>
  </si>
  <si>
    <t>Customer 14 Inc</t>
  </si>
  <si>
    <t>Customer 15 Inc</t>
  </si>
  <si>
    <t>Customer 16 Inc</t>
  </si>
  <si>
    <t>Customer 17 Inc</t>
  </si>
  <si>
    <t>Customer 18 Inc</t>
  </si>
  <si>
    <t>Customer 19 Inc</t>
  </si>
  <si>
    <t>Customer 20 Inc</t>
  </si>
  <si>
    <t>Metric</t>
  </si>
  <si>
    <t>Value</t>
  </si>
  <si>
    <t>Total Revenue</t>
  </si>
  <si>
    <t>=SUM(Invoices.I:I)</t>
  </si>
  <si>
    <t>Total Invoices</t>
  </si>
  <si>
    <t>=COUNTA(Invoices.A:A)-1</t>
  </si>
  <si>
    <t>Average Invoice Value</t>
  </si>
  <si>
    <t>=AVERAGE(Invoices.I:I)</t>
  </si>
  <si>
    <t>TotalRevenue</t>
  </si>
  <si>
    <t>InvoiceCount</t>
  </si>
  <si>
    <t>AvgInvoice</t>
  </si>
  <si>
    <t>=SUMIF(Invoices.F:F,"North",Invoices.I:I)</t>
  </si>
  <si>
    <t>=COUNTIF(Invoices.F:F,"North")</t>
  </si>
  <si>
    <t>=AVERAGEIF(Invoices.F:F,"North",Invoices.I:I)</t>
  </si>
  <si>
    <t>=SUMIF(Invoices.F:F,"South",Invoices.I:I)</t>
  </si>
  <si>
    <t>=COUNTIF(Invoices.F:F,"South")</t>
  </si>
  <si>
    <t>=AVERAGEIF(Invoices.F:F,"South",Invoices.I:I)</t>
  </si>
  <si>
    <t>=SUMIF(Invoices.F:F,"East",Invoices.I:I)</t>
  </si>
  <si>
    <t>=COUNTIF(Invoices.F:F,"East")</t>
  </si>
  <si>
    <t>=AVERAGEIF(Invoices.F:F,"East",Invoices.I:I)</t>
  </si>
  <si>
    <t>=SUMIF(Invoices.F:F,"West",Invoices.I:I)</t>
  </si>
  <si>
    <t>=COUNTIF(Invoices.F:F,"West")</t>
  </si>
  <si>
    <t>=AVERAGEIF(Invoices.F:F,"West",Invoices.I:I)</t>
  </si>
  <si>
    <t>=SUMIF(Invoices.E:E,"Electronics",Invoices.I:I)</t>
  </si>
  <si>
    <t>=COUNTIF(Invoices.E:E,"Electronics")</t>
  </si>
  <si>
    <t>=SUMIF(Invoices.E:E,"Software",Invoices.I:I)</t>
  </si>
  <si>
    <t>=COUNTIF(Invoices.E:E,"Software")</t>
  </si>
  <si>
    <t>=SUMIF(Invoices.E:E,"Services",Invoices.I:I)</t>
  </si>
  <si>
    <t>=COUNTIF(Invoices.E:E,"Services")</t>
  </si>
  <si>
    <t>=SUMIF(Invoices.E:E,"Hardware",Invoices.I:I)</t>
  </si>
  <si>
    <t>=COUNTIF(Invoices.E:E,"Hardware")</t>
  </si>
  <si>
    <t>CustomerCount</t>
  </si>
  <si>
    <t>=SUMIFS(Invoices.I:I,Invoices.C:C,Customers.A:A,Customers.C:C,"Enterprise")</t>
  </si>
  <si>
    <t>=COUNTIF(Customers.C:C,"Enterprise")</t>
  </si>
  <si>
    <t>=SUMIFS(Invoices.I:I,Invoices.C:C,Customers.A:A,Customers.C:C,"SMB")</t>
  </si>
  <si>
    <t>=COUNTIF(Customers.C:C,"SMB")</t>
  </si>
  <si>
    <t>=SUMIFS(Invoices.I:I,Invoices.C:C,Customers.A:A,Customers.C:C,"Startup")</t>
  </si>
  <si>
    <t>=COUNTIF(Customers.C:C,"Startup")</t>
  </si>
  <si>
    <t>TotalSpent</t>
  </si>
  <si>
    <t>=VLOOKUP(A2,Customers.A:B,2,FALSE)</t>
  </si>
  <si>
    <t>=VLOOKUP(A2,Customers.A:C,3,FALSE)</t>
  </si>
  <si>
    <t>=SUMIF(Invoices.C:C,A2,Invoices.I:I)</t>
  </si>
  <si>
    <t>=VLOOKUP(A3,Customers.A:B,2,FALSE)</t>
  </si>
  <si>
    <t>=VLOOKUP(A3,Customers.A:C,3,FALSE)</t>
  </si>
  <si>
    <t>=SUMIF(Invoices.C:C,A3,Invoices.I:I)</t>
  </si>
  <si>
    <t>=VLOOKUP(A4,Customers.A:B,2,FALSE)</t>
  </si>
  <si>
    <t>=VLOOKUP(A4,Customers.A:C,3,FALSE)</t>
  </si>
  <si>
    <t>=SUMIF(Invoices.C:C,A4,Invoices.I:I)</t>
  </si>
  <si>
    <t>=VLOOKUP(A5,Customers.A:B,2,FALSE)</t>
  </si>
  <si>
    <t>=VLOOKUP(A5,Customers.A:C,3,FALSE)</t>
  </si>
  <si>
    <t>=SUMIF(Invoices.C:C,A5,Invoices.I:I)</t>
  </si>
  <si>
    <t>=VLOOKUP(A6,Customers.A:B,2,FALSE)</t>
  </si>
  <si>
    <t>=VLOOKUP(A6,Customers.A:C,3,FALSE)</t>
  </si>
  <si>
    <t>=SUMIF(Invoices.C:C,A6,Invoices.I:I)</t>
  </si>
  <si>
    <t>=VLOOKUP(A7,Customers.A:B,2,FALSE)</t>
  </si>
  <si>
    <t>=VLOOKUP(A7,Customers.A:C,3,FALSE)</t>
  </si>
  <si>
    <t>=SUMIF(Invoices.C:C,A7,Invoices.I:I)</t>
  </si>
  <si>
    <t>=VLOOKUP(A8,Customers.A:B,2,FALSE)</t>
  </si>
  <si>
    <t>=VLOOKUP(A8,Customers.A:C,3,FALSE)</t>
  </si>
  <si>
    <t>=SUMIF(Invoices.C:C,A8,Invoices.I:I)</t>
  </si>
  <si>
    <t>=VLOOKUP(A9,Customers.A:B,2,FALSE)</t>
  </si>
  <si>
    <t>=VLOOKUP(A9,Customers.A:C,3,FALSE)</t>
  </si>
  <si>
    <t>=SUMIF(Invoices.C:C,A9,Invoices.I:I)</t>
  </si>
  <si>
    <t>=VLOOKUP(A10,Customers.A:B,2,FALSE)</t>
  </si>
  <si>
    <t>=VLOOKUP(A10,Customers.A:C,3,FALSE)</t>
  </si>
  <si>
    <t>=SUMIF(Invoices.C:C,A10,Invoices.I:I)</t>
  </si>
  <si>
    <t>=VLOOKUP(A11,Customers.A:B,2,FALSE)</t>
  </si>
  <si>
    <t>=VLOOKUP(A11,Customers.A:C,3,FALSE)</t>
  </si>
  <si>
    <t>=SUMIF(Invoices.C:C,A11,Invoices.I:I)</t>
  </si>
  <si>
    <t>=VLOOKUP(A12,Customers.A:B,2,FALSE)</t>
  </si>
  <si>
    <t>=VLOOKUP(A12,Customers.A:C,3,FALSE)</t>
  </si>
  <si>
    <t>=SUMIF(Invoices.C:C,A12,Invoices.I:I)</t>
  </si>
  <si>
    <t>=VLOOKUP(A13,Customers.A:B,2,FALSE)</t>
  </si>
  <si>
    <t>=VLOOKUP(A13,Customers.A:C,3,FALSE)</t>
  </si>
  <si>
    <t>=SUMIF(Invoices.C:C,A13,Invoices.I:I)</t>
  </si>
  <si>
    <t>=VLOOKUP(A14,Customers.A:B,2,FALSE)</t>
  </si>
  <si>
    <t>=VLOOKUP(A14,Customers.A:C,3,FALSE)</t>
  </si>
  <si>
    <t>=SUMIF(Invoices.C:C,A14,Invoices.I:I)</t>
  </si>
  <si>
    <t>=VLOOKUP(A15,Customers.A:B,2,FALSE)</t>
  </si>
  <si>
    <t>=VLOOKUP(A15,Customers.A:C,3,FALSE)</t>
  </si>
  <si>
    <t>=SUMIF(Invoices.C:C,A15,Invoices.I:I)</t>
  </si>
  <si>
    <t>=VLOOKUP(A16,Customers.A:B,2,FALSE)</t>
  </si>
  <si>
    <t>=VLOOKUP(A16,Customers.A:C,3,FALSE)</t>
  </si>
  <si>
    <t>=SUMIF(Invoices.C:C,A16,Invoices.I:I)</t>
  </si>
  <si>
    <t>=VLOOKUP(A17,Customers.A:B,2,FALSE)</t>
  </si>
  <si>
    <t>=VLOOKUP(A17,Customers.A:C,3,FALSE)</t>
  </si>
  <si>
    <t>=SUMIF(Invoices.C:C,A17,Invoices.I:I)</t>
  </si>
  <si>
    <t>=VLOOKUP(A18,Customers.A:B,2,FALSE)</t>
  </si>
  <si>
    <t>=VLOOKUP(A18,Customers.A:C,3,FALSE)</t>
  </si>
  <si>
    <t>=SUMIF(Invoices.C:C,A18,Invoices.I:I)</t>
  </si>
  <si>
    <t>=VLOOKUP(A19,Customers.A:B,2,FALSE)</t>
  </si>
  <si>
    <t>=VLOOKUP(A19,Customers.A:C,3,FALSE)</t>
  </si>
  <si>
    <t>=SUMIF(Invoices.C:C,A19,Invoices.I:I)</t>
  </si>
  <si>
    <t>=VLOOKUP(A20,Customers.A:B,2,FALSE)</t>
  </si>
  <si>
    <t>=VLOOKUP(A20,Customers.A:C,3,FALSE)</t>
  </si>
  <si>
    <t>=SUMIF(Invoices.C:C,A20,Invoices.I:I)</t>
  </si>
  <si>
    <t>=VLOOKUP(A21,Customers.A:B,2,FALSE)</t>
  </si>
  <si>
    <t>=VLOOKUP(A21,Customers.A:C,3,FALSE)</t>
  </si>
  <si>
    <t>=SUMIF(Invoices.C:C,A21,Invoices.I:I)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</si>
</sst>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row>
    <row r="2">
      <c r="A2" t="s">
        <v>9</v>
      </c>
      <c r="B2" t="s">
        <v>10</v>
      </c>
      <c r="C2" t="s">
        <v>11</v>
      </c>
      <c r="D2" t="s">
        <v>12</v>
      </c>
      <c r="E2" t="s">
        <v>13</v>
      </c>
      <c r="F2" t="s">
        <v>14</v>
      </c>
      <c r="G2">
        <v>2</v>
      </c>
      <c r="H2">
        <v>899.99</v>
      </c>
      <c r="I2">
        <v>1799.98</v>
      </c>
    </row>
    <row r="3">
      <c r="A3" t="s">
        <v>15</v>
      </c>
      <c r="B3" t="s">
        <v>16</v>
      </c>
      <c r="C3" t="s">
        <v>17</v>
      </c>
      <c r="D3" t="s">
        <v>18</v>
      </c>
      <c r="E3" t="s">
        <v>19</v>
      </c>
      <c r="F3" t="s">
        <v>20</v>
      </c>
      <c r="G3">
        <v>3</v>
      </c>
      <c r="H3">
        <v>499.99</v>
      </c>
      <c r="I3">
        <v>1499.97</v>
      </c>
    </row>
    <row r="4">
      <c r="A4" t="s">
        <v>21</v>
      </c>
      <c r="B4" t="s">
        <v>22</v>
      </c>
      <c r="C4" t="s">
        <v>23</v>
      </c>
      <c r="D4" t="s">
        <v>24</v>
      </c>
      <c r="E4" t="s">
        <v>25</v>
      </c>
      <c r="F4" t="s">
        <v>26</v>
      </c>
      <c r="G4">
        <v>4</v>
      </c>
      <c r="H4">
        <v>150</v>
      </c>
      <c r="I4">
        <v>600</v>
      </c>
    </row>
    <row r="5">
      <c r="A5" t="s">
        <v>27</v>
      </c>
      <c r="B5" t="s">
        <v>28</v>
      </c>
      <c r="C5" t="s">
        <v>29</v>
      </c>
      <c r="D5" t="s">
        <v>30</v>
      </c>
      <c r="E5" t="s">
        <v>31</v>
      </c>
      <c r="F5" t="s">
        <v>32</v>
      </c>
      <c r="G5">
        <v>5</v>
      </c>
      <c r="H5">
        <v>349.99</v>
      </c>
      <c r="I5">
        <v>1749.95</v>
      </c>
    </row>
    <row r="6">
      <c r="A6" t="s">
        <v>33</v>
      </c>
      <c r="B6" t="s">
        <v>34</v>
      </c>
      <c r="C6" t="s">
        <v>35</v>
      </c>
      <c r="D6" t="s">
        <v>36</v>
      </c>
      <c r="E6" t="s">
        <v>13</v>
      </c>
      <c r="F6" t="s">
        <v>14</v>
      </c>
      <c r="G6">
        <v>1</v>
      </c>
      <c r="H6">
        <v>2499.99</v>
      </c>
      <c r="I6">
        <v>2499.99</v>
      </c>
    </row>
    <row r="7">
      <c r="A7" t="s">
        <v>37</v>
      </c>
      <c r="B7" t="s">
        <v>38</v>
      </c>
      <c r="C7" t="s">
        <v>39</v>
      </c>
      <c r="D7" t="s">
        <v>40</v>
      </c>
      <c r="E7" t="s">
        <v>19</v>
      </c>
      <c r="F7" t="s">
        <v>20</v>
      </c>
      <c r="G7">
        <v>2</v>
      </c>
      <c r="H7">
        <v>299.99</v>
      </c>
      <c r="I7">
        <v>599.98</v>
      </c>
    </row>
    <row r="8">
      <c r="A8" t="s">
        <v>41</v>
      </c>
      <c r="B8" t="s">
        <v>42</v>
      </c>
      <c r="C8" t="s">
        <v>43</v>
      </c>
      <c r="D8" t="s">
        <v>44</v>
      </c>
      <c r="E8" t="s">
        <v>25</v>
      </c>
      <c r="F8" t="s">
        <v>26</v>
      </c>
      <c r="G8">
        <v>3</v>
      </c>
      <c r="H8">
        <v>200</v>
      </c>
      <c r="I8">
        <v>600</v>
      </c>
    </row>
    <row r="9">
      <c r="A9" t="s">
        <v>45</v>
      </c>
      <c r="B9" t="s">
        <v>46</v>
      </c>
      <c r="C9" t="s">
        <v>47</v>
      </c>
      <c r="D9" t="s">
        <v>48</v>
      </c>
      <c r="E9" t="s">
        <v>31</v>
      </c>
      <c r="F9" t="s">
        <v>32</v>
      </c>
      <c r="G9">
        <v>4</v>
      </c>
      <c r="H9">
        <v>599.99</v>
      </c>
      <c r="I9">
        <v>2399.96</v>
      </c>
    </row>
    <row r="10">
      <c r="A10" t="s">
        <v>49</v>
      </c>
      <c r="B10" t="s">
        <v>50</v>
      </c>
      <c r="C10" t="s">
        <v>51</v>
      </c>
      <c r="D10" t="s">
        <v>52</v>
      </c>
      <c r="E10" t="s">
        <v>13</v>
      </c>
      <c r="F10" t="s">
        <v>14</v>
      </c>
      <c r="G10">
        <v>5</v>
      </c>
      <c r="H10">
        <v>799.99</v>
      </c>
      <c r="I10">
        <v>3999.95</v>
      </c>
    </row>
    <row r="11">
      <c r="A11" t="s">
        <v>53</v>
      </c>
      <c r="B11" t="s">
        <v>54</v>
      </c>
      <c r="C11" t="s">
        <v>55</v>
      </c>
      <c r="D11" t="s">
        <v>56</v>
      </c>
      <c r="E11" t="s">
        <v>31</v>
      </c>
      <c r="F11" t="s">
        <v>20</v>
      </c>
      <c r="G11">
        <v>1</v>
      </c>
      <c r="H11">
        <v>1299.99</v>
      </c>
      <c r="I11">
        <v>1299.99</v>
      </c>
    </row>
    <row r="12">
      <c r="A12" t="s">
        <v>57</v>
      </c>
      <c r="B12" t="s">
        <v>58</v>
      </c>
      <c r="C12" t="s">
        <v>59</v>
      </c>
      <c r="D12" t="s">
        <v>12</v>
      </c>
      <c r="E12" t="s">
        <v>13</v>
      </c>
      <c r="F12" t="s">
        <v>26</v>
      </c>
      <c r="G12">
        <v>2</v>
      </c>
      <c r="H12">
        <v>899.99</v>
      </c>
      <c r="I12">
        <v>1799.98</v>
      </c>
    </row>
    <row r="13">
      <c r="A13" t="s">
        <v>60</v>
      </c>
      <c r="B13" t="s">
        <v>61</v>
      </c>
      <c r="C13" t="s">
        <v>62</v>
      </c>
      <c r="D13" t="s">
        <v>18</v>
      </c>
      <c r="E13" t="s">
        <v>19</v>
      </c>
      <c r="F13" t="s">
        <v>32</v>
      </c>
      <c r="G13">
        <v>3</v>
      </c>
      <c r="H13">
        <v>499.99</v>
      </c>
      <c r="I13">
        <v>1499.97</v>
      </c>
    </row>
    <row r="14">
      <c r="A14" t="s">
        <v>63</v>
      </c>
      <c r="B14" t="s">
        <v>64</v>
      </c>
      <c r="C14" t="s">
        <v>65</v>
      </c>
      <c r="D14" t="s">
        <v>24</v>
      </c>
      <c r="E14" t="s">
        <v>25</v>
      </c>
      <c r="F14" t="s">
        <v>14</v>
      </c>
      <c r="G14">
        <v>4</v>
      </c>
      <c r="H14">
        <v>150</v>
      </c>
      <c r="I14">
        <v>600</v>
      </c>
    </row>
    <row r="15">
      <c r="A15" t="s">
        <v>66</v>
      </c>
      <c r="B15" t="s">
        <v>67</v>
      </c>
      <c r="C15" t="s">
        <v>68</v>
      </c>
      <c r="D15" t="s">
        <v>30</v>
      </c>
      <c r="E15" t="s">
        <v>31</v>
      </c>
      <c r="F15" t="s">
        <v>20</v>
      </c>
      <c r="G15">
        <v>5</v>
      </c>
      <c r="H15">
        <v>349.99</v>
      </c>
      <c r="I15">
        <v>1749.95</v>
      </c>
    </row>
    <row r="16">
      <c r="A16" t="s">
        <v>69</v>
      </c>
      <c r="B16" t="s">
        <v>70</v>
      </c>
      <c r="C16" t="s">
        <v>71</v>
      </c>
      <c r="D16" t="s">
        <v>36</v>
      </c>
      <c r="E16" t="s">
        <v>13</v>
      </c>
      <c r="F16" t="s">
        <v>26</v>
      </c>
      <c r="G16">
        <v>1</v>
      </c>
      <c r="H16">
        <v>2499.99</v>
      </c>
      <c r="I16">
        <v>2499.99</v>
      </c>
    </row>
    <row r="17">
      <c r="A17" t="s">
        <v>72</v>
      </c>
      <c r="B17" t="s">
        <v>73</v>
      </c>
      <c r="C17" t="s">
        <v>74</v>
      </c>
      <c r="D17" t="s">
        <v>40</v>
      </c>
      <c r="E17" t="s">
        <v>19</v>
      </c>
      <c r="F17" t="s">
        <v>32</v>
      </c>
      <c r="G17">
        <v>2</v>
      </c>
      <c r="H17">
        <v>299.99</v>
      </c>
      <c r="I17">
        <v>599.98</v>
      </c>
    </row>
    <row r="18">
      <c r="A18" t="s">
        <v>75</v>
      </c>
      <c r="B18" t="s">
        <v>76</v>
      </c>
      <c r="C18" t="s">
        <v>77</v>
      </c>
      <c r="D18" t="s">
        <v>44</v>
      </c>
      <c r="E18" t="s">
        <v>25</v>
      </c>
      <c r="F18" t="s">
        <v>14</v>
      </c>
      <c r="G18">
        <v>3</v>
      </c>
      <c r="H18">
        <v>200</v>
      </c>
      <c r="I18">
        <v>600</v>
      </c>
    </row>
    <row r="19">
      <c r="A19" t="s">
        <v>78</v>
      </c>
      <c r="B19" t="s">
        <v>79</v>
      </c>
      <c r="C19" t="s">
        <v>80</v>
      </c>
      <c r="D19" t="s">
        <v>48</v>
      </c>
      <c r="E19" t="s">
        <v>31</v>
      </c>
      <c r="F19" t="s">
        <v>20</v>
      </c>
      <c r="G19">
        <v>4</v>
      </c>
      <c r="H19">
        <v>599.99</v>
      </c>
      <c r="I19">
        <v>2399.96</v>
      </c>
    </row>
    <row r="20">
      <c r="A20" t="s">
        <v>81</v>
      </c>
      <c r="B20" t="s">
        <v>82</v>
      </c>
      <c r="C20" t="s">
        <v>83</v>
      </c>
      <c r="D20" t="s">
        <v>52</v>
      </c>
      <c r="E20" t="s">
        <v>13</v>
      </c>
      <c r="F20" t="s">
        <v>26</v>
      </c>
      <c r="G20">
        <v>5</v>
      </c>
      <c r="H20">
        <v>799.99</v>
      </c>
      <c r="I20">
        <v>3999.95</v>
      </c>
    </row>
    <row r="21">
      <c r="A21" t="s">
        <v>84</v>
      </c>
      <c r="B21" t="s">
        <v>85</v>
      </c>
      <c r="C21" t="s">
        <v>86</v>
      </c>
      <c r="D21" t="s">
        <v>56</v>
      </c>
      <c r="E21" t="s">
        <v>31</v>
      </c>
      <c r="F21" t="s">
        <v>32</v>
      </c>
      <c r="G21">
        <v>1</v>
      </c>
      <c r="H21">
        <v>1299.99</v>
      </c>
      <c r="I21">
        <v>1299.99</v>
      </c>
    </row>
    <row r="22">
      <c r="A22" t="s">
        <v>87</v>
      </c>
      <c r="B22" t="s">
        <v>88</v>
      </c>
      <c r="C22" t="s">
        <v>11</v>
      </c>
      <c r="D22" t="s">
        <v>12</v>
      </c>
      <c r="E22" t="s">
        <v>13</v>
      </c>
      <c r="F22" t="s">
        <v>14</v>
      </c>
      <c r="G22">
        <v>2</v>
      </c>
      <c r="H22">
        <v>899.99</v>
      </c>
      <c r="I22">
        <v>1799.98</v>
      </c>
    </row>
    <row r="23">
      <c r="A23" t="s">
        <v>89</v>
      </c>
      <c r="B23" t="s">
        <v>90</v>
      </c>
      <c r="C23" t="s">
        <v>17</v>
      </c>
      <c r="D23" t="s">
        <v>18</v>
      </c>
      <c r="E23" t="s">
        <v>19</v>
      </c>
      <c r="F23" t="s">
        <v>20</v>
      </c>
      <c r="G23">
        <v>3</v>
      </c>
      <c r="H23">
        <v>499.99</v>
      </c>
      <c r="I23">
        <v>1499.97</v>
      </c>
    </row>
    <row r="24">
      <c r="A24" t="s">
        <v>91</v>
      </c>
      <c r="B24" t="s">
        <v>92</v>
      </c>
      <c r="C24" t="s">
        <v>23</v>
      </c>
      <c r="D24" t="s">
        <v>24</v>
      </c>
      <c r="E24" t="s">
        <v>25</v>
      </c>
      <c r="F24" t="s">
        <v>26</v>
      </c>
      <c r="G24">
        <v>4</v>
      </c>
      <c r="H24">
        <v>150</v>
      </c>
      <c r="I24">
        <v>600</v>
      </c>
    </row>
    <row r="25">
      <c r="A25" t="s">
        <v>93</v>
      </c>
      <c r="B25" t="s">
        <v>94</v>
      </c>
      <c r="C25" t="s">
        <v>29</v>
      </c>
      <c r="D25" t="s">
        <v>30</v>
      </c>
      <c r="E25" t="s">
        <v>31</v>
      </c>
      <c r="F25" t="s">
        <v>32</v>
      </c>
      <c r="G25">
        <v>5</v>
      </c>
      <c r="H25">
        <v>349.99</v>
      </c>
      <c r="I25">
        <v>1749.95</v>
      </c>
    </row>
    <row r="26">
      <c r="A26" t="s">
        <v>95</v>
      </c>
      <c r="B26" t="s">
        <v>96</v>
      </c>
      <c r="C26" t="s">
        <v>35</v>
      </c>
      <c r="D26" t="s">
        <v>36</v>
      </c>
      <c r="E26" t="s">
        <v>13</v>
      </c>
      <c r="F26" t="s">
        <v>14</v>
      </c>
      <c r="G26">
        <v>1</v>
      </c>
      <c r="H26">
        <v>2499.99</v>
      </c>
      <c r="I26">
        <v>2499.99</v>
      </c>
    </row>
    <row r="27">
      <c r="A27" t="s">
        <v>97</v>
      </c>
      <c r="B27" t="s">
        <v>98</v>
      </c>
      <c r="C27" t="s">
        <v>39</v>
      </c>
      <c r="D27" t="s">
        <v>40</v>
      </c>
      <c r="E27" t="s">
        <v>19</v>
      </c>
      <c r="F27" t="s">
        <v>20</v>
      </c>
      <c r="G27">
        <v>2</v>
      </c>
      <c r="H27">
        <v>299.99</v>
      </c>
      <c r="I27">
        <v>599.98</v>
      </c>
    </row>
    <row r="28">
      <c r="A28" t="s">
        <v>99</v>
      </c>
      <c r="B28" t="s">
        <v>100</v>
      </c>
      <c r="C28" t="s">
        <v>43</v>
      </c>
      <c r="D28" t="s">
        <v>44</v>
      </c>
      <c r="E28" t="s">
        <v>25</v>
      </c>
      <c r="F28" t="s">
        <v>26</v>
      </c>
      <c r="G28">
        <v>3</v>
      </c>
      <c r="H28">
        <v>200</v>
      </c>
      <c r="I28">
        <v>600</v>
      </c>
    </row>
    <row r="29">
      <c r="A29" t="s">
        <v>101</v>
      </c>
      <c r="B29" t="s">
        <v>102</v>
      </c>
      <c r="C29" t="s">
        <v>47</v>
      </c>
      <c r="D29" t="s">
        <v>48</v>
      </c>
      <c r="E29" t="s">
        <v>31</v>
      </c>
      <c r="F29" t="s">
        <v>32</v>
      </c>
      <c r="G29">
        <v>4</v>
      </c>
      <c r="H29">
        <v>599.99</v>
      </c>
      <c r="I29">
        <v>2399.96</v>
      </c>
    </row>
    <row r="30">
      <c r="A30" t="s">
        <v>103</v>
      </c>
      <c r="B30" t="s">
        <v>104</v>
      </c>
      <c r="C30" t="s">
        <v>51</v>
      </c>
      <c r="D30" t="s">
        <v>52</v>
      </c>
      <c r="E30" t="s">
        <v>13</v>
      </c>
      <c r="F30" t="s">
        <v>14</v>
      </c>
      <c r="G30">
        <v>5</v>
      </c>
      <c r="H30">
        <v>799.99</v>
      </c>
      <c r="I30">
        <v>3999.95</v>
      </c>
    </row>
    <row r="31">
      <c r="A31" t="s">
        <v>105</v>
      </c>
      <c r="B31" t="s">
        <v>106</v>
      </c>
      <c r="C31" t="s">
        <v>55</v>
      </c>
      <c r="D31" t="s">
        <v>56</v>
      </c>
      <c r="E31" t="s">
        <v>31</v>
      </c>
      <c r="F31" t="s">
        <v>20</v>
      </c>
      <c r="G31">
        <v>1</v>
      </c>
      <c r="H31">
        <v>1299.99</v>
      </c>
      <c r="I31">
        <v>1299.99</v>
      </c>
    </row>
    <row r="32">
      <c r="A32" t="s">
        <v>107</v>
      </c>
      <c r="B32" t="s">
        <v>108</v>
      </c>
      <c r="C32" t="s">
        <v>59</v>
      </c>
      <c r="D32" t="s">
        <v>12</v>
      </c>
      <c r="E32" t="s">
        <v>13</v>
      </c>
      <c r="F32" t="s">
        <v>26</v>
      </c>
      <c r="G32">
        <v>2</v>
      </c>
      <c r="H32">
        <v>899.99</v>
      </c>
      <c r="I32">
        <v>1799.98</v>
      </c>
    </row>
    <row r="33">
      <c r="A33" t="s">
        <v>109</v>
      </c>
      <c r="B33" t="s">
        <v>110</v>
      </c>
      <c r="C33" t="s">
        <v>62</v>
      </c>
      <c r="D33" t="s">
        <v>18</v>
      </c>
      <c r="E33" t="s">
        <v>19</v>
      </c>
      <c r="F33" t="s">
        <v>32</v>
      </c>
      <c r="G33">
        <v>3</v>
      </c>
      <c r="H33">
        <v>499.99</v>
      </c>
      <c r="I33">
        <v>1499.97</v>
      </c>
    </row>
    <row r="34">
      <c r="A34" t="s">
        <v>111</v>
      </c>
      <c r="B34" t="s">
        <v>112</v>
      </c>
      <c r="C34" t="s">
        <v>65</v>
      </c>
      <c r="D34" t="s">
        <v>24</v>
      </c>
      <c r="E34" t="s">
        <v>25</v>
      </c>
      <c r="F34" t="s">
        <v>14</v>
      </c>
      <c r="G34">
        <v>4</v>
      </c>
      <c r="H34">
        <v>150</v>
      </c>
      <c r="I34">
        <v>600</v>
      </c>
    </row>
    <row r="35">
      <c r="A35" t="s">
        <v>113</v>
      </c>
      <c r="B35" t="s">
        <v>114</v>
      </c>
      <c r="C35" t="s">
        <v>68</v>
      </c>
      <c r="D35" t="s">
        <v>30</v>
      </c>
      <c r="E35" t="s">
        <v>31</v>
      </c>
      <c r="F35" t="s">
        <v>20</v>
      </c>
      <c r="G35">
        <v>5</v>
      </c>
      <c r="H35">
        <v>349.99</v>
      </c>
      <c r="I35">
        <v>1749.95</v>
      </c>
    </row>
    <row r="36">
      <c r="A36" t="s">
        <v>115</v>
      </c>
      <c r="B36" t="s">
        <v>116</v>
      </c>
      <c r="C36" t="s">
        <v>71</v>
      </c>
      <c r="D36" t="s">
        <v>36</v>
      </c>
      <c r="E36" t="s">
        <v>13</v>
      </c>
      <c r="F36" t="s">
        <v>26</v>
      </c>
      <c r="G36">
        <v>1</v>
      </c>
      <c r="H36">
        <v>2499.99</v>
      </c>
      <c r="I36">
        <v>2499.99</v>
      </c>
    </row>
    <row r="37">
      <c r="A37" t="s">
        <v>117</v>
      </c>
      <c r="B37" t="s">
        <v>118</v>
      </c>
      <c r="C37" t="s">
        <v>74</v>
      </c>
      <c r="D37" t="s">
        <v>40</v>
      </c>
      <c r="E37" t="s">
        <v>19</v>
      </c>
      <c r="F37" t="s">
        <v>32</v>
      </c>
      <c r="G37">
        <v>2</v>
      </c>
      <c r="H37">
        <v>299.99</v>
      </c>
      <c r="I37">
        <v>599.98</v>
      </c>
    </row>
    <row r="38">
      <c r="A38" t="s">
        <v>119</v>
      </c>
      <c r="B38" t="s">
        <v>120</v>
      </c>
      <c r="C38" t="s">
        <v>77</v>
      </c>
      <c r="D38" t="s">
        <v>44</v>
      </c>
      <c r="E38" t="s">
        <v>25</v>
      </c>
      <c r="F38" t="s">
        <v>14</v>
      </c>
      <c r="G38">
        <v>3</v>
      </c>
      <c r="H38">
        <v>200</v>
      </c>
      <c r="I38">
        <v>600</v>
      </c>
    </row>
    <row r="39">
      <c r="A39" t="s">
        <v>121</v>
      </c>
      <c r="B39" t="s">
        <v>122</v>
      </c>
      <c r="C39" t="s">
        <v>80</v>
      </c>
      <c r="D39" t="s">
        <v>48</v>
      </c>
      <c r="E39" t="s">
        <v>31</v>
      </c>
      <c r="F39" t="s">
        <v>20</v>
      </c>
      <c r="G39">
        <v>4</v>
      </c>
      <c r="H39">
        <v>599.99</v>
      </c>
      <c r="I39">
        <v>2399.96</v>
      </c>
    </row>
    <row r="40">
      <c r="A40" t="s">
        <v>123</v>
      </c>
      <c r="B40" t="s">
        <v>124</v>
      </c>
      <c r="C40" t="s">
        <v>83</v>
      </c>
      <c r="D40" t="s">
        <v>52</v>
      </c>
      <c r="E40" t="s">
        <v>13</v>
      </c>
      <c r="F40" t="s">
        <v>26</v>
      </c>
      <c r="G40">
        <v>5</v>
      </c>
      <c r="H40">
        <v>799.99</v>
      </c>
      <c r="I40">
        <v>3999.95</v>
      </c>
    </row>
    <row r="41">
      <c r="A41" t="s">
        <v>125</v>
      </c>
      <c r="B41" t="s">
        <v>126</v>
      </c>
      <c r="C41" t="s">
        <v>86</v>
      </c>
      <c r="D41" t="s">
        <v>56</v>
      </c>
      <c r="E41" t="s">
        <v>31</v>
      </c>
      <c r="F41" t="s">
        <v>32</v>
      </c>
      <c r="G41">
        <v>1</v>
      </c>
      <c r="H41">
        <v>1299.99</v>
      </c>
      <c r="I41">
        <v>1299.99</v>
      </c>
    </row>
    <row r="42">
      <c r="A42" t="s">
        <v>127</v>
      </c>
      <c r="B42" t="s">
        <v>128</v>
      </c>
      <c r="C42" t="s">
        <v>11</v>
      </c>
      <c r="D42" t="s">
        <v>12</v>
      </c>
      <c r="E42" t="s">
        <v>13</v>
      </c>
      <c r="F42" t="s">
        <v>14</v>
      </c>
      <c r="G42">
        <v>2</v>
      </c>
      <c r="H42">
        <v>899.99</v>
      </c>
      <c r="I42">
        <v>1799.98</v>
      </c>
    </row>
    <row r="43">
      <c r="A43" t="s">
        <v>129</v>
      </c>
      <c r="B43" t="s">
        <v>130</v>
      </c>
      <c r="C43" t="s">
        <v>17</v>
      </c>
      <c r="D43" t="s">
        <v>18</v>
      </c>
      <c r="E43" t="s">
        <v>19</v>
      </c>
      <c r="F43" t="s">
        <v>20</v>
      </c>
      <c r="G43">
        <v>3</v>
      </c>
      <c r="H43">
        <v>499.99</v>
      </c>
      <c r="I43">
        <v>1499.97</v>
      </c>
    </row>
    <row r="44">
      <c r="A44" t="s">
        <v>131</v>
      </c>
      <c r="B44" t="s">
        <v>132</v>
      </c>
      <c r="C44" t="s">
        <v>23</v>
      </c>
      <c r="D44" t="s">
        <v>24</v>
      </c>
      <c r="E44" t="s">
        <v>25</v>
      </c>
      <c r="F44" t="s">
        <v>26</v>
      </c>
      <c r="G44">
        <v>4</v>
      </c>
      <c r="H44">
        <v>150</v>
      </c>
      <c r="I44">
        <v>600</v>
      </c>
    </row>
    <row r="45">
      <c r="A45" t="s">
        <v>133</v>
      </c>
      <c r="B45" t="s">
        <v>134</v>
      </c>
      <c r="C45" t="s">
        <v>29</v>
      </c>
      <c r="D45" t="s">
        <v>30</v>
      </c>
      <c r="E45" t="s">
        <v>31</v>
      </c>
      <c r="F45" t="s">
        <v>32</v>
      </c>
      <c r="G45">
        <v>5</v>
      </c>
      <c r="H45">
        <v>349.99</v>
      </c>
      <c r="I45">
        <v>1749.95</v>
      </c>
    </row>
    <row r="46">
      <c r="A46" t="s">
        <v>135</v>
      </c>
      <c r="B46" t="s">
        <v>136</v>
      </c>
      <c r="C46" t="s">
        <v>35</v>
      </c>
      <c r="D46" t="s">
        <v>36</v>
      </c>
      <c r="E46" t="s">
        <v>13</v>
      </c>
      <c r="F46" t="s">
        <v>14</v>
      </c>
      <c r="G46">
        <v>1</v>
      </c>
      <c r="H46">
        <v>2499.99</v>
      </c>
      <c r="I46">
        <v>2499.99</v>
      </c>
    </row>
    <row r="47">
      <c r="A47" t="s">
        <v>137</v>
      </c>
      <c r="B47" t="s">
        <v>138</v>
      </c>
      <c r="C47" t="s">
        <v>39</v>
      </c>
      <c r="D47" t="s">
        <v>40</v>
      </c>
      <c r="E47" t="s">
        <v>19</v>
      </c>
      <c r="F47" t="s">
        <v>20</v>
      </c>
      <c r="G47">
        <v>2</v>
      </c>
      <c r="H47">
        <v>299.99</v>
      </c>
      <c r="I47">
        <v>599.98</v>
      </c>
    </row>
    <row r="48">
      <c r="A48" t="s">
        <v>139</v>
      </c>
      <c r="B48" t="s">
        <v>140</v>
      </c>
      <c r="C48" t="s">
        <v>43</v>
      </c>
      <c r="D48" t="s">
        <v>44</v>
      </c>
      <c r="E48" t="s">
        <v>25</v>
      </c>
      <c r="F48" t="s">
        <v>26</v>
      </c>
      <c r="G48">
        <v>3</v>
      </c>
      <c r="H48">
        <v>200</v>
      </c>
      <c r="I48">
        <v>600</v>
      </c>
    </row>
    <row r="49">
      <c r="A49" t="s">
        <v>141</v>
      </c>
      <c r="B49" t="s">
        <v>142</v>
      </c>
      <c r="C49" t="s">
        <v>47</v>
      </c>
      <c r="D49" t="s">
        <v>48</v>
      </c>
      <c r="E49" t="s">
        <v>31</v>
      </c>
      <c r="F49" t="s">
        <v>32</v>
      </c>
      <c r="G49">
        <v>4</v>
      </c>
      <c r="H49">
        <v>599.99</v>
      </c>
      <c r="I49">
        <v>2399.96</v>
      </c>
    </row>
    <row r="50">
      <c r="A50" t="s">
        <v>143</v>
      </c>
      <c r="B50" t="s">
        <v>144</v>
      </c>
      <c r="C50" t="s">
        <v>51</v>
      </c>
      <c r="D50" t="s">
        <v>52</v>
      </c>
      <c r="E50" t="s">
        <v>13</v>
      </c>
      <c r="F50" t="s">
        <v>14</v>
      </c>
      <c r="G50">
        <v>5</v>
      </c>
      <c r="H50">
        <v>799.99</v>
      </c>
      <c r="I50">
        <v>3999.95</v>
      </c>
    </row>
    <row r="51">
      <c r="A51" t="s">
        <v>145</v>
      </c>
      <c r="B51" t="s">
        <v>146</v>
      </c>
      <c r="C51" t="s">
        <v>55</v>
      </c>
      <c r="D51" t="s">
        <v>56</v>
      </c>
      <c r="E51" t="s">
        <v>31</v>
      </c>
      <c r="F51" t="s">
        <v>20</v>
      </c>
      <c r="G51">
        <v>1</v>
      </c>
      <c r="H51">
        <v>1299.99</v>
      </c>
      <c r="I51">
        <v>1299.99</v>
      </c>
    </row>
    <row r="52">
      <c r="A52" t="s">
        <v>147</v>
      </c>
      <c r="B52" t="s">
        <v>148</v>
      </c>
      <c r="C52" t="s">
        <v>59</v>
      </c>
      <c r="D52" t="s">
        <v>12</v>
      </c>
      <c r="E52" t="s">
        <v>13</v>
      </c>
      <c r="F52" t="s">
        <v>26</v>
      </c>
      <c r="G52">
        <v>2</v>
      </c>
      <c r="H52">
        <v>899.99</v>
      </c>
      <c r="I52">
        <v>1799.98</v>
      </c>
    </row>
    <row r="53">
      <c r="A53" t="s">
        <v>149</v>
      </c>
      <c r="B53" t="s">
        <v>150</v>
      </c>
      <c r="C53" t="s">
        <v>62</v>
      </c>
      <c r="D53" t="s">
        <v>18</v>
      </c>
      <c r="E53" t="s">
        <v>19</v>
      </c>
      <c r="F53" t="s">
        <v>32</v>
      </c>
      <c r="G53">
        <v>3</v>
      </c>
      <c r="H53">
        <v>499.99</v>
      </c>
      <c r="I53">
        <v>1499.97</v>
      </c>
    </row>
    <row r="54">
      <c r="A54" t="s">
        <v>151</v>
      </c>
      <c r="B54" t="s">
        <v>152</v>
      </c>
      <c r="C54" t="s">
        <v>65</v>
      </c>
      <c r="D54" t="s">
        <v>24</v>
      </c>
      <c r="E54" t="s">
        <v>25</v>
      </c>
      <c r="F54" t="s">
        <v>14</v>
      </c>
      <c r="G54">
        <v>4</v>
      </c>
      <c r="H54">
        <v>150</v>
      </c>
      <c r="I54">
        <v>600</v>
      </c>
    </row>
    <row r="55">
      <c r="A55" t="s">
        <v>153</v>
      </c>
      <c r="B55" t="s">
        <v>154</v>
      </c>
      <c r="C55" t="s">
        <v>68</v>
      </c>
      <c r="D55" t="s">
        <v>30</v>
      </c>
      <c r="E55" t="s">
        <v>31</v>
      </c>
      <c r="F55" t="s">
        <v>20</v>
      </c>
      <c r="G55">
        <v>5</v>
      </c>
      <c r="H55">
        <v>349.99</v>
      </c>
      <c r="I55">
        <v>1749.95</v>
      </c>
    </row>
    <row r="56">
      <c r="A56" t="s">
        <v>155</v>
      </c>
      <c r="B56" t="s">
        <v>156</v>
      </c>
      <c r="C56" t="s">
        <v>71</v>
      </c>
      <c r="D56" t="s">
        <v>36</v>
      </c>
      <c r="E56" t="s">
        <v>13</v>
      </c>
      <c r="F56" t="s">
        <v>26</v>
      </c>
      <c r="G56">
        <v>1</v>
      </c>
      <c r="H56">
        <v>2499.99</v>
      </c>
      <c r="I56">
        <v>2499.99</v>
      </c>
    </row>
    <row r="57">
      <c r="A57" t="s">
        <v>157</v>
      </c>
      <c r="B57" t="s">
        <v>158</v>
      </c>
      <c r="C57" t="s">
        <v>74</v>
      </c>
      <c r="D57" t="s">
        <v>40</v>
      </c>
      <c r="E57" t="s">
        <v>19</v>
      </c>
      <c r="F57" t="s">
        <v>32</v>
      </c>
      <c r="G57">
        <v>2</v>
      </c>
      <c r="H57">
        <v>299.99</v>
      </c>
      <c r="I57">
        <v>599.98</v>
      </c>
    </row>
    <row r="58">
      <c r="A58" t="s">
        <v>159</v>
      </c>
      <c r="B58" t="s">
        <v>160</v>
      </c>
      <c r="C58" t="s">
        <v>77</v>
      </c>
      <c r="D58" t="s">
        <v>44</v>
      </c>
      <c r="E58" t="s">
        <v>25</v>
      </c>
      <c r="F58" t="s">
        <v>14</v>
      </c>
      <c r="G58">
        <v>3</v>
      </c>
      <c r="H58">
        <v>200</v>
      </c>
      <c r="I58">
        <v>600</v>
      </c>
    </row>
    <row r="59">
      <c r="A59" t="s">
        <v>161</v>
      </c>
      <c r="B59" t="s">
        <v>162</v>
      </c>
      <c r="C59" t="s">
        <v>80</v>
      </c>
      <c r="D59" t="s">
        <v>48</v>
      </c>
      <c r="E59" t="s">
        <v>31</v>
      </c>
      <c r="F59" t="s">
        <v>20</v>
      </c>
      <c r="G59">
        <v>4</v>
      </c>
      <c r="H59">
        <v>599.99</v>
      </c>
      <c r="I59">
        <v>2399.96</v>
      </c>
    </row>
    <row r="60">
      <c r="A60" t="s">
        <v>163</v>
      </c>
      <c r="B60" t="s">
        <v>164</v>
      </c>
      <c r="C60" t="s">
        <v>83</v>
      </c>
      <c r="D60" t="s">
        <v>52</v>
      </c>
      <c r="E60" t="s">
        <v>13</v>
      </c>
      <c r="F60" t="s">
        <v>26</v>
      </c>
      <c r="G60">
        <v>5</v>
      </c>
      <c r="H60">
        <v>799.99</v>
      </c>
      <c r="I60">
        <v>3999.95</v>
      </c>
    </row>
    <row r="61">
      <c r="A61" t="s">
        <v>165</v>
      </c>
      <c r="B61" t="s">
        <v>166</v>
      </c>
      <c r="C61" t="s">
        <v>86</v>
      </c>
      <c r="D61" t="s">
        <v>56</v>
      </c>
      <c r="E61" t="s">
        <v>31</v>
      </c>
      <c r="F61" t="s">
        <v>32</v>
      </c>
      <c r="G61">
        <v>1</v>
      </c>
      <c r="H61">
        <v>1299.99</v>
      </c>
      <c r="I61">
        <v>1299.99</v>
      </c>
    </row>
    <row r="62">
      <c r="A62" t="s">
        <v>167</v>
      </c>
      <c r="B62" t="s">
        <v>168</v>
      </c>
      <c r="C62" t="s">
        <v>11</v>
      </c>
      <c r="D62" t="s">
        <v>12</v>
      </c>
      <c r="E62" t="s">
        <v>13</v>
      </c>
      <c r="F62" t="s">
        <v>14</v>
      </c>
      <c r="G62">
        <v>2</v>
      </c>
      <c r="H62">
        <v>899.99</v>
      </c>
      <c r="I62">
        <v>1799.98</v>
      </c>
    </row>
    <row r="63">
      <c r="A63" t="s">
        <v>169</v>
      </c>
      <c r="B63" t="s">
        <v>170</v>
      </c>
      <c r="C63" t="s">
        <v>17</v>
      </c>
      <c r="D63" t="s">
        <v>18</v>
      </c>
      <c r="E63" t="s">
        <v>19</v>
      </c>
      <c r="F63" t="s">
        <v>20</v>
      </c>
      <c r="G63">
        <v>3</v>
      </c>
      <c r="H63">
        <v>499.99</v>
      </c>
      <c r="I63">
        <v>1499.97</v>
      </c>
    </row>
    <row r="64">
      <c r="A64" t="s">
        <v>171</v>
      </c>
      <c r="B64" t="s">
        <v>172</v>
      </c>
      <c r="C64" t="s">
        <v>23</v>
      </c>
      <c r="D64" t="s">
        <v>24</v>
      </c>
      <c r="E64" t="s">
        <v>25</v>
      </c>
      <c r="F64" t="s">
        <v>26</v>
      </c>
      <c r="G64">
        <v>4</v>
      </c>
      <c r="H64">
        <v>150</v>
      </c>
      <c r="I64">
        <v>600</v>
      </c>
    </row>
    <row r="65">
      <c r="A65" t="s">
        <v>173</v>
      </c>
      <c r="B65" t="s">
        <v>174</v>
      </c>
      <c r="C65" t="s">
        <v>29</v>
      </c>
      <c r="D65" t="s">
        <v>30</v>
      </c>
      <c r="E65" t="s">
        <v>31</v>
      </c>
      <c r="F65" t="s">
        <v>32</v>
      </c>
      <c r="G65">
        <v>5</v>
      </c>
      <c r="H65">
        <v>349.99</v>
      </c>
      <c r="I65">
        <v>1749.95</v>
      </c>
    </row>
    <row r="66">
      <c r="A66" t="s">
        <v>175</v>
      </c>
      <c r="B66" t="s">
        <v>176</v>
      </c>
      <c r="C66" t="s">
        <v>35</v>
      </c>
      <c r="D66" t="s">
        <v>36</v>
      </c>
      <c r="E66" t="s">
        <v>13</v>
      </c>
      <c r="F66" t="s">
        <v>14</v>
      </c>
      <c r="G66">
        <v>1</v>
      </c>
      <c r="H66">
        <v>2499.99</v>
      </c>
      <c r="I66">
        <v>2499.99</v>
      </c>
    </row>
    <row r="67">
      <c r="A67" t="s">
        <v>177</v>
      </c>
      <c r="B67" t="s">
        <v>178</v>
      </c>
      <c r="C67" t="s">
        <v>39</v>
      </c>
      <c r="D67" t="s">
        <v>40</v>
      </c>
      <c r="E67" t="s">
        <v>19</v>
      </c>
      <c r="F67" t="s">
        <v>20</v>
      </c>
      <c r="G67">
        <v>2</v>
      </c>
      <c r="H67">
        <v>299.99</v>
      </c>
      <c r="I67">
        <v>599.98</v>
      </c>
    </row>
    <row r="68">
      <c r="A68" t="s">
        <v>179</v>
      </c>
      <c r="B68" t="s">
        <v>180</v>
      </c>
      <c r="C68" t="s">
        <v>43</v>
      </c>
      <c r="D68" t="s">
        <v>44</v>
      </c>
      <c r="E68" t="s">
        <v>25</v>
      </c>
      <c r="F68" t="s">
        <v>26</v>
      </c>
      <c r="G68">
        <v>3</v>
      </c>
      <c r="H68">
        <v>200</v>
      </c>
      <c r="I68">
        <v>600</v>
      </c>
    </row>
    <row r="69">
      <c r="A69" t="s">
        <v>181</v>
      </c>
      <c r="B69" t="s">
        <v>182</v>
      </c>
      <c r="C69" t="s">
        <v>47</v>
      </c>
      <c r="D69" t="s">
        <v>48</v>
      </c>
      <c r="E69" t="s">
        <v>31</v>
      </c>
      <c r="F69" t="s">
        <v>32</v>
      </c>
      <c r="G69">
        <v>4</v>
      </c>
      <c r="H69">
        <v>599.99</v>
      </c>
      <c r="I69">
        <v>2399.96</v>
      </c>
    </row>
    <row r="70">
      <c r="A70" t="s">
        <v>183</v>
      </c>
      <c r="B70" t="s">
        <v>184</v>
      </c>
      <c r="C70" t="s">
        <v>51</v>
      </c>
      <c r="D70" t="s">
        <v>52</v>
      </c>
      <c r="E70" t="s">
        <v>13</v>
      </c>
      <c r="F70" t="s">
        <v>14</v>
      </c>
      <c r="G70">
        <v>5</v>
      </c>
      <c r="H70">
        <v>799.99</v>
      </c>
      <c r="I70">
        <v>3999.95</v>
      </c>
    </row>
    <row r="71">
      <c r="A71" t="s">
        <v>185</v>
      </c>
      <c r="B71" t="s">
        <v>186</v>
      </c>
      <c r="C71" t="s">
        <v>55</v>
      </c>
      <c r="D71" t="s">
        <v>56</v>
      </c>
      <c r="E71" t="s">
        <v>31</v>
      </c>
      <c r="F71" t="s">
        <v>20</v>
      </c>
      <c r="G71">
        <v>1</v>
      </c>
      <c r="H71">
        <v>1299.99</v>
      </c>
      <c r="I71">
        <v>1299.99</v>
      </c>
    </row>
    <row r="72">
      <c r="A72" t="s">
        <v>187</v>
      </c>
      <c r="B72" t="s">
        <v>188</v>
      </c>
      <c r="C72" t="s">
        <v>59</v>
      </c>
      <c r="D72" t="s">
        <v>12</v>
      </c>
      <c r="E72" t="s">
        <v>13</v>
      </c>
      <c r="F72" t="s">
        <v>26</v>
      </c>
      <c r="G72">
        <v>2</v>
      </c>
      <c r="H72">
        <v>899.99</v>
      </c>
      <c r="I72">
        <v>1799.98</v>
      </c>
    </row>
    <row r="73">
      <c r="A73" t="s">
        <v>189</v>
      </c>
      <c r="B73" t="s">
        <v>190</v>
      </c>
      <c r="C73" t="s">
        <v>62</v>
      </c>
      <c r="D73" t="s">
        <v>18</v>
      </c>
      <c r="E73" t="s">
        <v>19</v>
      </c>
      <c r="F73" t="s">
        <v>32</v>
      </c>
      <c r="G73">
        <v>3</v>
      </c>
      <c r="H73">
        <v>499.99</v>
      </c>
      <c r="I73">
        <v>1499.97</v>
      </c>
    </row>
    <row r="74">
      <c r="A74" t="s">
        <v>191</v>
      </c>
      <c r="B74" t="s">
        <v>192</v>
      </c>
      <c r="C74" t="s">
        <v>65</v>
      </c>
      <c r="D74" t="s">
        <v>24</v>
      </c>
      <c r="E74" t="s">
        <v>25</v>
      </c>
      <c r="F74" t="s">
        <v>14</v>
      </c>
      <c r="G74">
        <v>4</v>
      </c>
      <c r="H74">
        <v>150</v>
      </c>
      <c r="I74">
        <v>600</v>
      </c>
    </row>
    <row r="75">
      <c r="A75" t="s">
        <v>193</v>
      </c>
      <c r="B75" t="s">
        <v>194</v>
      </c>
      <c r="C75" t="s">
        <v>68</v>
      </c>
      <c r="D75" t="s">
        <v>30</v>
      </c>
      <c r="E75" t="s">
        <v>31</v>
      </c>
      <c r="F75" t="s">
        <v>20</v>
      </c>
      <c r="G75">
        <v>5</v>
      </c>
      <c r="H75">
        <v>349.99</v>
      </c>
      <c r="I75">
        <v>1749.95</v>
      </c>
    </row>
    <row r="76">
      <c r="A76" t="s">
        <v>195</v>
      </c>
      <c r="B76" t="s">
        <v>196</v>
      </c>
      <c r="C76" t="s">
        <v>71</v>
      </c>
      <c r="D76" t="s">
        <v>36</v>
      </c>
      <c r="E76" t="s">
        <v>13</v>
      </c>
      <c r="F76" t="s">
        <v>26</v>
      </c>
      <c r="G76">
        <v>1</v>
      </c>
      <c r="H76">
        <v>2499.99</v>
      </c>
      <c r="I76">
        <v>2499.99</v>
      </c>
    </row>
    <row r="77">
      <c r="A77" t="s">
        <v>197</v>
      </c>
      <c r="B77" t="s">
        <v>198</v>
      </c>
      <c r="C77" t="s">
        <v>74</v>
      </c>
      <c r="D77" t="s">
        <v>40</v>
      </c>
      <c r="E77" t="s">
        <v>19</v>
      </c>
      <c r="F77" t="s">
        <v>32</v>
      </c>
      <c r="G77">
        <v>2</v>
      </c>
      <c r="H77">
        <v>299.99</v>
      </c>
      <c r="I77">
        <v>599.98</v>
      </c>
    </row>
    <row r="78">
      <c r="A78" t="s">
        <v>199</v>
      </c>
      <c r="B78" t="s">
        <v>200</v>
      </c>
      <c r="C78" t="s">
        <v>77</v>
      </c>
      <c r="D78" t="s">
        <v>44</v>
      </c>
      <c r="E78" t="s">
        <v>25</v>
      </c>
      <c r="F78" t="s">
        <v>14</v>
      </c>
      <c r="G78">
        <v>3</v>
      </c>
      <c r="H78">
        <v>200</v>
      </c>
      <c r="I78">
        <v>600</v>
      </c>
    </row>
    <row r="79">
      <c r="A79" t="s">
        <v>201</v>
      </c>
      <c r="B79" t="s">
        <v>202</v>
      </c>
      <c r="C79" t="s">
        <v>80</v>
      </c>
      <c r="D79" t="s">
        <v>48</v>
      </c>
      <c r="E79" t="s">
        <v>31</v>
      </c>
      <c r="F79" t="s">
        <v>20</v>
      </c>
      <c r="G79">
        <v>4</v>
      </c>
      <c r="H79">
        <v>599.99</v>
      </c>
      <c r="I79">
        <v>2399.96</v>
      </c>
    </row>
    <row r="80">
      <c r="A80" t="s">
        <v>203</v>
      </c>
      <c r="B80" t="s">
        <v>204</v>
      </c>
      <c r="C80" t="s">
        <v>83</v>
      </c>
      <c r="D80" t="s">
        <v>52</v>
      </c>
      <c r="E80" t="s">
        <v>13</v>
      </c>
      <c r="F80" t="s">
        <v>26</v>
      </c>
      <c r="G80">
        <v>5</v>
      </c>
      <c r="H80">
        <v>799.99</v>
      </c>
      <c r="I80">
        <v>3999.95</v>
      </c>
    </row>
    <row r="81">
      <c r="A81" t="s">
        <v>205</v>
      </c>
      <c r="B81" t="s">
        <v>206</v>
      </c>
      <c r="C81" t="s">
        <v>86</v>
      </c>
      <c r="D81" t="s">
        <v>56</v>
      </c>
      <c r="E81" t="s">
        <v>31</v>
      </c>
      <c r="F81" t="s">
        <v>32</v>
      </c>
      <c r="G81">
        <v>1</v>
      </c>
      <c r="H81">
        <v>1299.99</v>
      </c>
      <c r="I81">
        <v>1299.99</v>
      </c>
    </row>
    <row r="82">
      <c r="A82" t="s">
        <v>207</v>
      </c>
      <c r="B82" t="s">
        <v>208</v>
      </c>
      <c r="C82" t="s">
        <v>11</v>
      </c>
      <c r="D82" t="s">
        <v>12</v>
      </c>
      <c r="E82" t="s">
        <v>13</v>
      </c>
      <c r="F82" t="s">
        <v>14</v>
      </c>
      <c r="G82">
        <v>2</v>
      </c>
      <c r="H82">
        <v>899.99</v>
      </c>
      <c r="I82">
        <v>1799.98</v>
      </c>
    </row>
    <row r="83">
      <c r="A83" t="s">
        <v>209</v>
      </c>
      <c r="B83" t="s">
        <v>210</v>
      </c>
      <c r="C83" t="s">
        <v>17</v>
      </c>
      <c r="D83" t="s">
        <v>18</v>
      </c>
      <c r="E83" t="s">
        <v>19</v>
      </c>
      <c r="F83" t="s">
        <v>20</v>
      </c>
      <c r="G83">
        <v>3</v>
      </c>
      <c r="H83">
        <v>499.99</v>
      </c>
      <c r="I83">
        <v>1499.97</v>
      </c>
    </row>
    <row r="84">
      <c r="A84" t="s">
        <v>211</v>
      </c>
      <c r="B84" t="s">
        <v>212</v>
      </c>
      <c r="C84" t="s">
        <v>23</v>
      </c>
      <c r="D84" t="s">
        <v>24</v>
      </c>
      <c r="E84" t="s">
        <v>25</v>
      </c>
      <c r="F84" t="s">
        <v>26</v>
      </c>
      <c r="G84">
        <v>4</v>
      </c>
      <c r="H84">
        <v>150</v>
      </c>
      <c r="I84">
        <v>600</v>
      </c>
    </row>
    <row r="85">
      <c r="A85" t="s">
        <v>213</v>
      </c>
      <c r="B85" t="s">
        <v>214</v>
      </c>
      <c r="C85" t="s">
        <v>29</v>
      </c>
      <c r="D85" t="s">
        <v>30</v>
      </c>
      <c r="E85" t="s">
        <v>31</v>
      </c>
      <c r="F85" t="s">
        <v>32</v>
      </c>
      <c r="G85">
        <v>5</v>
      </c>
      <c r="H85">
        <v>349.99</v>
      </c>
      <c r="I85">
        <v>1749.95</v>
      </c>
    </row>
    <row r="86">
      <c r="A86" t="s">
        <v>215</v>
      </c>
      <c r="B86" t="s">
        <v>10</v>
      </c>
      <c r="C86" t="s">
        <v>35</v>
      </c>
      <c r="D86" t="s">
        <v>36</v>
      </c>
      <c r="E86" t="s">
        <v>13</v>
      </c>
      <c r="F86" t="s">
        <v>14</v>
      </c>
      <c r="G86">
        <v>1</v>
      </c>
      <c r="H86">
        <v>2499.99</v>
      </c>
      <c r="I86">
        <v>2499.99</v>
      </c>
    </row>
    <row r="87">
      <c r="A87" t="s">
        <v>216</v>
      </c>
      <c r="B87" t="s">
        <v>16</v>
      </c>
      <c r="C87" t="s">
        <v>39</v>
      </c>
      <c r="D87" t="s">
        <v>40</v>
      </c>
      <c r="E87" t="s">
        <v>19</v>
      </c>
      <c r="F87" t="s">
        <v>20</v>
      </c>
      <c r="G87">
        <v>2</v>
      </c>
      <c r="H87">
        <v>299.99</v>
      </c>
      <c r="I87">
        <v>599.98</v>
      </c>
    </row>
    <row r="88">
      <c r="A88" t="s">
        <v>217</v>
      </c>
      <c r="B88" t="s">
        <v>22</v>
      </c>
      <c r="C88" t="s">
        <v>43</v>
      </c>
      <c r="D88" t="s">
        <v>44</v>
      </c>
      <c r="E88" t="s">
        <v>25</v>
      </c>
      <c r="F88" t="s">
        <v>26</v>
      </c>
      <c r="G88">
        <v>3</v>
      </c>
      <c r="H88">
        <v>200</v>
      </c>
      <c r="I88">
        <v>600</v>
      </c>
    </row>
    <row r="89">
      <c r="A89" t="s">
        <v>218</v>
      </c>
      <c r="B89" t="s">
        <v>28</v>
      </c>
      <c r="C89" t="s">
        <v>47</v>
      </c>
      <c r="D89" t="s">
        <v>48</v>
      </c>
      <c r="E89" t="s">
        <v>31</v>
      </c>
      <c r="F89" t="s">
        <v>32</v>
      </c>
      <c r="G89">
        <v>4</v>
      </c>
      <c r="H89">
        <v>599.99</v>
      </c>
      <c r="I89">
        <v>2399.96</v>
      </c>
    </row>
    <row r="90">
      <c r="A90" t="s">
        <v>219</v>
      </c>
      <c r="B90" t="s">
        <v>34</v>
      </c>
      <c r="C90" t="s">
        <v>51</v>
      </c>
      <c r="D90" t="s">
        <v>52</v>
      </c>
      <c r="E90" t="s">
        <v>13</v>
      </c>
      <c r="F90" t="s">
        <v>14</v>
      </c>
      <c r="G90">
        <v>5</v>
      </c>
      <c r="H90">
        <v>799.99</v>
      </c>
      <c r="I90">
        <v>3999.95</v>
      </c>
    </row>
    <row r="91">
      <c r="A91" t="s">
        <v>220</v>
      </c>
      <c r="B91" t="s">
        <v>38</v>
      </c>
      <c r="C91" t="s">
        <v>55</v>
      </c>
      <c r="D91" t="s">
        <v>56</v>
      </c>
      <c r="E91" t="s">
        <v>31</v>
      </c>
      <c r="F91" t="s">
        <v>20</v>
      </c>
      <c r="G91">
        <v>1</v>
      </c>
      <c r="H91">
        <v>1299.99</v>
      </c>
      <c r="I91">
        <v>1299.99</v>
      </c>
    </row>
    <row r="92">
      <c r="A92" t="s">
        <v>221</v>
      </c>
      <c r="B92" t="s">
        <v>42</v>
      </c>
      <c r="C92" t="s">
        <v>59</v>
      </c>
      <c r="D92" t="s">
        <v>12</v>
      </c>
      <c r="E92" t="s">
        <v>13</v>
      </c>
      <c r="F92" t="s">
        <v>26</v>
      </c>
      <c r="G92">
        <v>2</v>
      </c>
      <c r="H92">
        <v>899.99</v>
      </c>
      <c r="I92">
        <v>1799.98</v>
      </c>
    </row>
    <row r="93">
      <c r="A93" t="s">
        <v>222</v>
      </c>
      <c r="B93" t="s">
        <v>46</v>
      </c>
      <c r="C93" t="s">
        <v>62</v>
      </c>
      <c r="D93" t="s">
        <v>18</v>
      </c>
      <c r="E93" t="s">
        <v>19</v>
      </c>
      <c r="F93" t="s">
        <v>32</v>
      </c>
      <c r="G93">
        <v>3</v>
      </c>
      <c r="H93">
        <v>499.99</v>
      </c>
      <c r="I93">
        <v>1499.97</v>
      </c>
    </row>
    <row r="94">
      <c r="A94" t="s">
        <v>223</v>
      </c>
      <c r="B94" t="s">
        <v>50</v>
      </c>
      <c r="C94" t="s">
        <v>65</v>
      </c>
      <c r="D94" t="s">
        <v>24</v>
      </c>
      <c r="E94" t="s">
        <v>25</v>
      </c>
      <c r="F94" t="s">
        <v>14</v>
      </c>
      <c r="G94">
        <v>4</v>
      </c>
      <c r="H94">
        <v>150</v>
      </c>
      <c r="I94">
        <v>600</v>
      </c>
    </row>
    <row r="95">
      <c r="A95" t="s">
        <v>224</v>
      </c>
      <c r="B95" t="s">
        <v>54</v>
      </c>
      <c r="C95" t="s">
        <v>68</v>
      </c>
      <c r="D95" t="s">
        <v>30</v>
      </c>
      <c r="E95" t="s">
        <v>31</v>
      </c>
      <c r="F95" t="s">
        <v>20</v>
      </c>
      <c r="G95">
        <v>5</v>
      </c>
      <c r="H95">
        <v>349.99</v>
      </c>
      <c r="I95">
        <v>1749.95</v>
      </c>
    </row>
    <row r="96">
      <c r="A96" t="s">
        <v>225</v>
      </c>
      <c r="B96" t="s">
        <v>58</v>
      </c>
      <c r="C96" t="s">
        <v>71</v>
      </c>
      <c r="D96" t="s">
        <v>36</v>
      </c>
      <c r="E96" t="s">
        <v>13</v>
      </c>
      <c r="F96" t="s">
        <v>26</v>
      </c>
      <c r="G96">
        <v>1</v>
      </c>
      <c r="H96">
        <v>2499.99</v>
      </c>
      <c r="I96">
        <v>2499.99</v>
      </c>
    </row>
    <row r="97">
      <c r="A97" t="s">
        <v>226</v>
      </c>
      <c r="B97" t="s">
        <v>61</v>
      </c>
      <c r="C97" t="s">
        <v>74</v>
      </c>
      <c r="D97" t="s">
        <v>40</v>
      </c>
      <c r="E97" t="s">
        <v>19</v>
      </c>
      <c r="F97" t="s">
        <v>32</v>
      </c>
      <c r="G97">
        <v>2</v>
      </c>
      <c r="H97">
        <v>299.99</v>
      </c>
      <c r="I97">
        <v>599.98</v>
      </c>
    </row>
    <row r="98">
      <c r="A98" t="s">
        <v>227</v>
      </c>
      <c r="B98" t="s">
        <v>64</v>
      </c>
      <c r="C98" t="s">
        <v>77</v>
      </c>
      <c r="D98" t="s">
        <v>44</v>
      </c>
      <c r="E98" t="s">
        <v>25</v>
      </c>
      <c r="F98" t="s">
        <v>14</v>
      </c>
      <c r="G98">
        <v>3</v>
      </c>
      <c r="H98">
        <v>200</v>
      </c>
      <c r="I98">
        <v>600</v>
      </c>
    </row>
    <row r="99">
      <c r="A99" t="s">
        <v>228</v>
      </c>
      <c r="B99" t="s">
        <v>67</v>
      </c>
      <c r="C99" t="s">
        <v>80</v>
      </c>
      <c r="D99" t="s">
        <v>48</v>
      </c>
      <c r="E99" t="s">
        <v>31</v>
      </c>
      <c r="F99" t="s">
        <v>20</v>
      </c>
      <c r="G99">
        <v>4</v>
      </c>
      <c r="H99">
        <v>599.99</v>
      </c>
      <c r="I99">
        <v>2399.96</v>
      </c>
    </row>
    <row r="100">
      <c r="A100" t="s">
        <v>229</v>
      </c>
      <c r="B100" t="s">
        <v>70</v>
      </c>
      <c r="C100" t="s">
        <v>83</v>
      </c>
      <c r="D100" t="s">
        <v>52</v>
      </c>
      <c r="E100" t="s">
        <v>13</v>
      </c>
      <c r="F100" t="s">
        <v>26</v>
      </c>
      <c r="G100">
        <v>5</v>
      </c>
      <c r="H100">
        <v>799.99</v>
      </c>
      <c r="I100">
        <v>3999.95</v>
      </c>
    </row>
    <row r="101">
      <c r="A101" t="s">
        <v>230</v>
      </c>
      <c r="B101" t="s">
        <v>73</v>
      </c>
      <c r="C101" t="s">
        <v>86</v>
      </c>
      <c r="D101" t="s">
        <v>56</v>
      </c>
      <c r="E101" t="s">
        <v>31</v>
      </c>
      <c r="F101" t="s">
        <v>32</v>
      </c>
      <c r="G101">
        <v>1</v>
      </c>
      <c r="H101">
        <v>1299.99</v>
      </c>
      <c r="I101">
        <v>1299.99</v>
      </c>
    </row>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v>2</v>
      </c>
      <c r="H2">
        <v>899.99</v>
      </c>
      <c r="I2">
        <v>1799.98</v>
      </c>
    </row>
    <row r="3">
      <c r="A3" t="s">
        <v>15</v>
      </c>
      <c r="B3" t="s">
        <v>16</v>
      </c>
      <c r="C3" t="s">
        <v>17</v>
      </c>
      <c r="D3" t="s">
        <v>18</v>
      </c>
      <c r="E3" t="s">
        <v>19</v>
      </c>
      <c r="F3" t="s">
        <v>20</v>
      </c>
      <c r="G3">
        <v>3</v>
      </c>
      <c r="H3">
        <v>499.99</v>
      </c>
      <c r="I3">
        <v>1499.97</v>
      </c>
    </row>
    <row r="4">
      <c r="A4" t="s">
        <v>21</v>
      </c>
      <c r="B4" t="s">
        <v>22</v>
      </c>
      <c r="C4" t="s">
        <v>23</v>
      </c>
      <c r="D4" t="s">
        <v>24</v>
      </c>
      <c r="E4" t="s">
        <v>25</v>
      </c>
      <c r="F4" t="s">
        <v>26</v>
      </c>
      <c r="G4">
        <v>4</v>
      </c>
      <c r="H4">
        <v>150</v>
      </c>
      <c r="I4">
        <v>600</v>
      </c>
    </row>
    <row r="5">
      <c r="A5" t="s">
        <v>27</v>
      </c>
      <c r="B5" t="s">
        <v>28</v>
      </c>
      <c r="C5" t="s">
        <v>29</v>
      </c>
      <c r="D5" t="s">
        <v>30</v>
      </c>
      <c r="E5" t="s">
        <v>31</v>
      </c>
      <c r="F5" t="s">
        <v>32</v>
      </c>
      <c r="G5">
        <v>5</v>
      </c>
      <c r="H5">
        <v>349.99</v>
      </c>
      <c r="I5">
        <v>1749.95</v>
      </c>
    </row>
    <row r="6">
      <c r="A6" t="s">
        <v>33</v>
      </c>
      <c r="B6" t="s">
        <v>34</v>
      </c>
      <c r="C6" t="s">
        <v>35</v>
      </c>
      <c r="D6" t="s">
        <v>36</v>
      </c>
      <c r="E6" t="s">
        <v>13</v>
      </c>
      <c r="F6" t="s">
        <v>14</v>
      </c>
      <c r="G6">
        <v>1</v>
      </c>
      <c r="H6">
        <v>2499.99</v>
      </c>
      <c r="I6">
        <v>2499.99</v>
      </c>
    </row>
    <row r="7">
      <c r="A7" t="s">
        <v>37</v>
      </c>
      <c r="B7" t="s">
        <v>38</v>
      </c>
      <c r="C7" t="s">
        <v>39</v>
      </c>
      <c r="D7" t="s">
        <v>40</v>
      </c>
      <c r="E7" t="s">
        <v>19</v>
      </c>
      <c r="F7" t="s">
        <v>20</v>
      </c>
      <c r="G7">
        <v>2</v>
      </c>
      <c r="H7">
        <v>299.99</v>
      </c>
      <c r="I7">
        <v>599.98</v>
      </c>
    </row>
    <row r="8">
      <c r="A8" t="s">
        <v>41</v>
      </c>
      <c r="B8" t="s">
        <v>42</v>
      </c>
      <c r="C8" t="s">
        <v>43</v>
      </c>
      <c r="D8" t="s">
        <v>44</v>
      </c>
      <c r="E8" t="s">
        <v>25</v>
      </c>
      <c r="F8" t="s">
        <v>26</v>
      </c>
      <c r="G8">
        <v>3</v>
      </c>
      <c r="H8">
        <v>200</v>
      </c>
      <c r="I8">
        <v>600</v>
      </c>
    </row>
    <row r="9">
      <c r="A9" t="s">
        <v>45</v>
      </c>
      <c r="B9" t="s">
        <v>46</v>
      </c>
      <c r="C9" t="s">
        <v>47</v>
      </c>
      <c r="D9" t="s">
        <v>48</v>
      </c>
      <c r="E9" t="s">
        <v>31</v>
      </c>
      <c r="F9" t="s">
        <v>32</v>
      </c>
      <c r="G9">
        <v>4</v>
      </c>
      <c r="H9">
        <v>599.99</v>
      </c>
      <c r="I9">
        <v>2399.96</v>
      </c>
    </row>
    <row r="10">
      <c r="A10" t="s">
        <v>49</v>
      </c>
      <c r="B10" t="s">
        <v>50</v>
      </c>
      <c r="C10" t="s">
        <v>51</v>
      </c>
      <c r="D10" t="s">
        <v>52</v>
      </c>
      <c r="E10" t="s">
        <v>13</v>
      </c>
      <c r="F10" t="s">
        <v>14</v>
      </c>
      <c r="G10">
        <v>5</v>
      </c>
      <c r="H10">
        <v>799.99</v>
      </c>
      <c r="I10">
        <v>3999.95</v>
      </c>
    </row>
    <row r="11">
      <c r="A11" t="s">
        <v>53</v>
      </c>
      <c r="B11" t="s">
        <v>54</v>
      </c>
      <c r="C11" t="s">
        <v>55</v>
      </c>
      <c r="D11" t="s">
        <v>56</v>
      </c>
      <c r="E11" t="s">
        <v>31</v>
      </c>
      <c r="F11" t="s">
        <v>20</v>
      </c>
      <c r="G11">
        <v>1</v>
      </c>
      <c r="H11">
        <v>1299.99</v>
      </c>
      <c r="I11">
        <v>1299.99</v>
      </c>
    </row>
    <row r="12">
      <c r="A12" t="s">
        <v>57</v>
      </c>
      <c r="B12" t="s">
        <v>58</v>
      </c>
      <c r="C12" t="s">
        <v>59</v>
      </c>
      <c r="D12" t="s">
        <v>12</v>
      </c>
      <c r="E12" t="s">
        <v>13</v>
      </c>
      <c r="F12" t="s">
        <v>26</v>
      </c>
      <c r="G12">
        <v>2</v>
      </c>
      <c r="H12">
        <v>899.99</v>
      </c>
      <c r="I12">
        <v>1799.98</v>
      </c>
    </row>
    <row r="13">
      <c r="A13" t="s">
        <v>60</v>
      </c>
      <c r="B13" t="s">
        <v>61</v>
      </c>
      <c r="C13" t="s">
        <v>62</v>
      </c>
      <c r="D13" t="s">
        <v>18</v>
      </c>
      <c r="E13" t="s">
        <v>19</v>
      </c>
      <c r="F13" t="s">
        <v>32</v>
      </c>
      <c r="G13">
        <v>3</v>
      </c>
      <c r="H13">
        <v>499.99</v>
      </c>
      <c r="I13">
        <v>1499.97</v>
      </c>
    </row>
    <row r="14">
      <c r="A14" t="s">
        <v>63</v>
      </c>
      <c r="B14" t="s">
        <v>64</v>
      </c>
      <c r="C14" t="s">
        <v>65</v>
      </c>
      <c r="D14" t="s">
        <v>24</v>
      </c>
      <c r="E14" t="s">
        <v>25</v>
      </c>
      <c r="F14" t="s">
        <v>14</v>
      </c>
      <c r="G14">
        <v>4</v>
      </c>
      <c r="H14">
        <v>150</v>
      </c>
      <c r="I14">
        <v>600</v>
      </c>
    </row>
    <row r="15">
      <c r="A15" t="s">
        <v>66</v>
      </c>
      <c r="B15" t="s">
        <v>67</v>
      </c>
      <c r="C15" t="s">
        <v>68</v>
      </c>
      <c r="D15" t="s">
        <v>30</v>
      </c>
      <c r="E15" t="s">
        <v>31</v>
      </c>
      <c r="F15" t="s">
        <v>20</v>
      </c>
      <c r="G15">
        <v>5</v>
      </c>
      <c r="H15">
        <v>349.99</v>
      </c>
      <c r="I15">
        <v>1749.95</v>
      </c>
    </row>
    <row r="16">
      <c r="A16" t="s">
        <v>69</v>
      </c>
      <c r="B16" t="s">
        <v>70</v>
      </c>
      <c r="C16" t="s">
        <v>71</v>
      </c>
      <c r="D16" t="s">
        <v>36</v>
      </c>
      <c r="E16" t="s">
        <v>13</v>
      </c>
      <c r="F16" t="s">
        <v>26</v>
      </c>
      <c r="G16">
        <v>1</v>
      </c>
      <c r="H16">
        <v>2499.99</v>
      </c>
      <c r="I16">
        <v>2499.99</v>
      </c>
    </row>
    <row r="17">
      <c r="A17" t="s">
        <v>72</v>
      </c>
      <c r="B17" t="s">
        <v>73</v>
      </c>
      <c r="C17" t="s">
        <v>74</v>
      </c>
      <c r="D17" t="s">
        <v>40</v>
      </c>
      <c r="E17" t="s">
        <v>19</v>
      </c>
      <c r="F17" t="s">
        <v>32</v>
      </c>
      <c r="G17">
        <v>2</v>
      </c>
      <c r="H17">
        <v>299.99</v>
      </c>
      <c r="I17">
        <v>599.98</v>
      </c>
    </row>
    <row r="18">
      <c r="A18" t="s">
        <v>75</v>
      </c>
      <c r="B18" t="s">
        <v>76</v>
      </c>
      <c r="C18" t="s">
        <v>77</v>
      </c>
      <c r="D18" t="s">
        <v>44</v>
      </c>
      <c r="E18" t="s">
        <v>25</v>
      </c>
      <c r="F18" t="s">
        <v>14</v>
      </c>
      <c r="G18">
        <v>3</v>
      </c>
      <c r="H18">
        <v>200</v>
      </c>
      <c r="I18">
        <v>600</v>
      </c>
    </row>
    <row r="19">
      <c r="A19" t="s">
        <v>78</v>
      </c>
      <c r="B19" t="s">
        <v>79</v>
      </c>
      <c r="C19" t="s">
        <v>80</v>
      </c>
      <c r="D19" t="s">
        <v>48</v>
      </c>
      <c r="E19" t="s">
        <v>31</v>
      </c>
      <c r="F19" t="s">
        <v>20</v>
      </c>
      <c r="G19">
        <v>4</v>
      </c>
      <c r="H19">
        <v>599.99</v>
      </c>
      <c r="I19">
        <v>2399.96</v>
      </c>
    </row>
    <row r="20">
      <c r="A20" t="s">
        <v>81</v>
      </c>
      <c r="B20" t="s">
        <v>82</v>
      </c>
      <c r="C20" t="s">
        <v>83</v>
      </c>
      <c r="D20" t="s">
        <v>52</v>
      </c>
      <c r="E20" t="s">
        <v>13</v>
      </c>
      <c r="F20" t="s">
        <v>26</v>
      </c>
      <c r="G20">
        <v>5</v>
      </c>
      <c r="H20">
        <v>799.99</v>
      </c>
      <c r="I20">
        <v>3999.95</v>
      </c>
    </row>
    <row r="21">
      <c r="A21" t="s">
        <v>84</v>
      </c>
      <c r="B21" t="s">
        <v>85</v>
      </c>
      <c r="C21" t="s">
        <v>86</v>
      </c>
      <c r="D21" t="s">
        <v>56</v>
      </c>
      <c r="E21" t="s">
        <v>31</v>
      </c>
      <c r="F21" t="s">
        <v>32</v>
      </c>
      <c r="G21">
        <v>1</v>
      </c>
      <c r="H21">
        <v>1299.99</v>
      </c>
      <c r="I21">
        <v>1299.99</v>
      </c>
    </row>
    <row r="22">
      <c r="A22" t="s">
        <v>87</v>
      </c>
      <c r="B22" t="s">
        <v>88</v>
      </c>
      <c r="C22" t="s">
        <v>11</v>
      </c>
      <c r="D22" t="s">
        <v>12</v>
      </c>
      <c r="E22" t="s">
        <v>13</v>
      </c>
      <c r="F22" t="s">
        <v>14</v>
      </c>
      <c r="G22">
        <v>2</v>
      </c>
      <c r="H22">
        <v>899.99</v>
      </c>
      <c r="I22">
        <v>1799.98</v>
      </c>
    </row>
    <row r="23">
      <c r="A23" t="s">
        <v>89</v>
      </c>
      <c r="B23" t="s">
        <v>90</v>
      </c>
      <c r="C23" t="s">
        <v>17</v>
      </c>
      <c r="D23" t="s">
        <v>18</v>
      </c>
      <c r="E23" t="s">
        <v>19</v>
      </c>
      <c r="F23" t="s">
        <v>20</v>
      </c>
      <c r="G23">
        <v>3</v>
      </c>
      <c r="H23">
        <v>499.99</v>
      </c>
      <c r="I23">
        <v>1499.97</v>
      </c>
    </row>
    <row r="24">
      <c r="A24" t="s">
        <v>91</v>
      </c>
      <c r="B24" t="s">
        <v>92</v>
      </c>
      <c r="C24" t="s">
        <v>23</v>
      </c>
      <c r="D24" t="s">
        <v>24</v>
      </c>
      <c r="E24" t="s">
        <v>25</v>
      </c>
      <c r="F24" t="s">
        <v>26</v>
      </c>
      <c r="G24">
        <v>4</v>
      </c>
      <c r="H24">
        <v>150</v>
      </c>
      <c r="I24">
        <v>600</v>
      </c>
    </row>
    <row r="25">
      <c r="A25" t="s">
        <v>93</v>
      </c>
      <c r="B25" t="s">
        <v>94</v>
      </c>
      <c r="C25" t="s">
        <v>29</v>
      </c>
      <c r="D25" t="s">
        <v>30</v>
      </c>
      <c r="E25" t="s">
        <v>31</v>
      </c>
      <c r="F25" t="s">
        <v>32</v>
      </c>
      <c r="G25">
        <v>5</v>
      </c>
      <c r="H25">
        <v>349.99</v>
      </c>
      <c r="I25">
        <v>1749.95</v>
      </c>
    </row>
    <row r="26">
      <c r="A26" t="s">
        <v>95</v>
      </c>
      <c r="B26" t="s">
        <v>96</v>
      </c>
      <c r="C26" t="s">
        <v>35</v>
      </c>
      <c r="D26" t="s">
        <v>36</v>
      </c>
      <c r="E26" t="s">
        <v>13</v>
      </c>
      <c r="F26" t="s">
        <v>14</v>
      </c>
      <c r="G26">
        <v>1</v>
      </c>
      <c r="H26">
        <v>2499.99</v>
      </c>
      <c r="I26">
        <v>2499.99</v>
      </c>
    </row>
    <row r="27">
      <c r="A27" t="s">
        <v>97</v>
      </c>
      <c r="B27" t="s">
        <v>98</v>
      </c>
      <c r="C27" t="s">
        <v>39</v>
      </c>
      <c r="D27" t="s">
        <v>40</v>
      </c>
      <c r="E27" t="s">
        <v>19</v>
      </c>
      <c r="F27" t="s">
        <v>20</v>
      </c>
      <c r="G27">
        <v>2</v>
      </c>
      <c r="H27">
        <v>299.99</v>
      </c>
      <c r="I27">
        <v>599.98</v>
      </c>
    </row>
    <row r="28">
      <c r="A28" t="s">
        <v>99</v>
      </c>
      <c r="B28" t="s">
        <v>100</v>
      </c>
      <c r="C28" t="s">
        <v>43</v>
      </c>
      <c r="D28" t="s">
        <v>44</v>
      </c>
      <c r="E28" t="s">
        <v>25</v>
      </c>
      <c r="F28" t="s">
        <v>26</v>
      </c>
      <c r="G28">
        <v>3</v>
      </c>
      <c r="H28">
        <v>200</v>
      </c>
      <c r="I28">
        <v>600</v>
      </c>
    </row>
    <row r="29">
      <c r="A29" t="s">
        <v>101</v>
      </c>
      <c r="B29" t="s">
        <v>102</v>
      </c>
      <c r="C29" t="s">
        <v>47</v>
      </c>
      <c r="D29" t="s">
        <v>48</v>
      </c>
      <c r="E29" t="s">
        <v>31</v>
      </c>
      <c r="F29" t="s">
        <v>32</v>
      </c>
      <c r="G29">
        <v>4</v>
      </c>
      <c r="H29">
        <v>599.99</v>
      </c>
      <c r="I29">
        <v>2399.96</v>
      </c>
    </row>
    <row r="30">
      <c r="A30" t="s">
        <v>103</v>
      </c>
      <c r="B30" t="s">
        <v>104</v>
      </c>
      <c r="C30" t="s">
        <v>51</v>
      </c>
      <c r="D30" t="s">
        <v>52</v>
      </c>
      <c r="E30" t="s">
        <v>13</v>
      </c>
      <c r="F30" t="s">
        <v>14</v>
      </c>
      <c r="G30">
        <v>5</v>
      </c>
      <c r="H30">
        <v>799.99</v>
      </c>
      <c r="I30">
        <v>3999.95</v>
      </c>
    </row>
    <row r="31">
      <c r="A31" t="s">
        <v>105</v>
      </c>
      <c r="B31" t="s">
        <v>106</v>
      </c>
      <c r="C31" t="s">
        <v>55</v>
      </c>
      <c r="D31" t="s">
        <v>56</v>
      </c>
      <c r="E31" t="s">
        <v>31</v>
      </c>
      <c r="F31" t="s">
        <v>20</v>
      </c>
      <c r="G31">
        <v>1</v>
      </c>
      <c r="H31">
        <v>1299.99</v>
      </c>
      <c r="I31">
        <v>1299.99</v>
      </c>
    </row>
    <row r="32">
      <c r="A32" t="s">
        <v>107</v>
      </c>
      <c r="B32" t="s">
        <v>108</v>
      </c>
      <c r="C32" t="s">
        <v>59</v>
      </c>
      <c r="D32" t="s">
        <v>12</v>
      </c>
      <c r="E32" t="s">
        <v>13</v>
      </c>
      <c r="F32" t="s">
        <v>26</v>
      </c>
      <c r="G32">
        <v>2</v>
      </c>
      <c r="H32">
        <v>899.99</v>
      </c>
      <c r="I32">
        <v>1799.98</v>
      </c>
    </row>
    <row r="33">
      <c r="A33" t="s">
        <v>109</v>
      </c>
      <c r="B33" t="s">
        <v>110</v>
      </c>
      <c r="C33" t="s">
        <v>62</v>
      </c>
      <c r="D33" t="s">
        <v>18</v>
      </c>
      <c r="E33" t="s">
        <v>19</v>
      </c>
      <c r="F33" t="s">
        <v>32</v>
      </c>
      <c r="G33">
        <v>3</v>
      </c>
      <c r="H33">
        <v>499.99</v>
      </c>
      <c r="I33">
        <v>1499.97</v>
      </c>
    </row>
    <row r="34">
      <c r="A34" t="s">
        <v>111</v>
      </c>
      <c r="B34" t="s">
        <v>112</v>
      </c>
      <c r="C34" t="s">
        <v>65</v>
      </c>
      <c r="D34" t="s">
        <v>24</v>
      </c>
      <c r="E34" t="s">
        <v>25</v>
      </c>
      <c r="F34" t="s">
        <v>14</v>
      </c>
      <c r="G34">
        <v>4</v>
      </c>
      <c r="H34">
        <v>150</v>
      </c>
      <c r="I34">
        <v>600</v>
      </c>
    </row>
    <row r="35">
      <c r="A35" t="s">
        <v>113</v>
      </c>
      <c r="B35" t="s">
        <v>114</v>
      </c>
      <c r="C35" t="s">
        <v>68</v>
      </c>
      <c r="D35" t="s">
        <v>30</v>
      </c>
      <c r="E35" t="s">
        <v>31</v>
      </c>
      <c r="F35" t="s">
        <v>20</v>
      </c>
      <c r="G35">
        <v>5</v>
      </c>
      <c r="H35">
        <v>349.99</v>
      </c>
      <c r="I35">
        <v>1749.95</v>
      </c>
    </row>
    <row r="36">
      <c r="A36" t="s">
        <v>115</v>
      </c>
      <c r="B36" t="s">
        <v>116</v>
      </c>
      <c r="C36" t="s">
        <v>71</v>
      </c>
      <c r="D36" t="s">
        <v>36</v>
      </c>
      <c r="E36" t="s">
        <v>13</v>
      </c>
      <c r="F36" t="s">
        <v>26</v>
      </c>
      <c r="G36">
        <v>1</v>
      </c>
      <c r="H36">
        <v>2499.99</v>
      </c>
      <c r="I36">
        <v>2499.99</v>
      </c>
    </row>
    <row r="37">
      <c r="A37" t="s">
        <v>117</v>
      </c>
      <c r="B37" t="s">
        <v>118</v>
      </c>
      <c r="C37" t="s">
        <v>74</v>
      </c>
      <c r="D37" t="s">
        <v>40</v>
      </c>
      <c r="E37" t="s">
        <v>19</v>
      </c>
      <c r="F37" t="s">
        <v>32</v>
      </c>
      <c r="G37">
        <v>2</v>
      </c>
      <c r="H37">
        <v>299.99</v>
      </c>
      <c r="I37">
        <v>599.98</v>
      </c>
    </row>
    <row r="38">
      <c r="A38" t="s">
        <v>119</v>
      </c>
      <c r="B38" t="s">
        <v>120</v>
      </c>
      <c r="C38" t="s">
        <v>77</v>
      </c>
      <c r="D38" t="s">
        <v>44</v>
      </c>
      <c r="E38" t="s">
        <v>25</v>
      </c>
      <c r="F38" t="s">
        <v>14</v>
      </c>
      <c r="G38">
        <v>3</v>
      </c>
      <c r="H38">
        <v>200</v>
      </c>
      <c r="I38">
        <v>600</v>
      </c>
    </row>
    <row r="39">
      <c r="A39" t="s">
        <v>121</v>
      </c>
      <c r="B39" t="s">
        <v>122</v>
      </c>
      <c r="C39" t="s">
        <v>80</v>
      </c>
      <c r="D39" t="s">
        <v>48</v>
      </c>
      <c r="E39" t="s">
        <v>31</v>
      </c>
      <c r="F39" t="s">
        <v>20</v>
      </c>
      <c r="G39">
        <v>4</v>
      </c>
      <c r="H39">
        <v>599.99</v>
      </c>
      <c r="I39">
        <v>2399.96</v>
      </c>
    </row>
    <row r="40">
      <c r="A40" t="s">
        <v>123</v>
      </c>
      <c r="B40" t="s">
        <v>124</v>
      </c>
      <c r="C40" t="s">
        <v>83</v>
      </c>
      <c r="D40" t="s">
        <v>52</v>
      </c>
      <c r="E40" t="s">
        <v>13</v>
      </c>
      <c r="F40" t="s">
        <v>26</v>
      </c>
      <c r="G40">
        <v>5</v>
      </c>
      <c r="H40">
        <v>799.99</v>
      </c>
      <c r="I40">
        <v>3999.95</v>
      </c>
    </row>
    <row r="41">
      <c r="A41" t="s">
        <v>125</v>
      </c>
      <c r="B41" t="s">
        <v>126</v>
      </c>
      <c r="C41" t="s">
        <v>86</v>
      </c>
      <c r="D41" t="s">
        <v>56</v>
      </c>
      <c r="E41" t="s">
        <v>31</v>
      </c>
      <c r="F41" t="s">
        <v>32</v>
      </c>
      <c r="G41">
        <v>1</v>
      </c>
      <c r="H41">
        <v>1299.99</v>
      </c>
      <c r="I41">
        <v>1299.99</v>
      </c>
    </row>
    <row r="42">
      <c r="A42" t="s">
        <v>127</v>
      </c>
      <c r="B42" t="s">
        <v>128</v>
      </c>
      <c r="C42" t="s">
        <v>11</v>
      </c>
      <c r="D42" t="s">
        <v>12</v>
      </c>
      <c r="E42" t="s">
        <v>13</v>
      </c>
      <c r="F42" t="s">
        <v>14</v>
      </c>
      <c r="G42">
        <v>2</v>
      </c>
      <c r="H42">
        <v>899.99</v>
      </c>
      <c r="I42">
        <v>1799.98</v>
      </c>
    </row>
    <row r="43">
      <c r="A43" t="s">
        <v>129</v>
      </c>
      <c r="B43" t="s">
        <v>130</v>
      </c>
      <c r="C43" t="s">
        <v>17</v>
      </c>
      <c r="D43" t="s">
        <v>18</v>
      </c>
      <c r="E43" t="s">
        <v>19</v>
      </c>
      <c r="F43" t="s">
        <v>20</v>
      </c>
      <c r="G43">
        <v>3</v>
      </c>
      <c r="H43">
        <v>499.99</v>
      </c>
      <c r="I43">
        <v>1499.97</v>
      </c>
    </row>
    <row r="44">
      <c r="A44" t="s">
        <v>131</v>
      </c>
      <c r="B44" t="s">
        <v>132</v>
      </c>
      <c r="C44" t="s">
        <v>23</v>
      </c>
      <c r="D44" t="s">
        <v>24</v>
      </c>
      <c r="E44" t="s">
        <v>25</v>
      </c>
      <c r="F44" t="s">
        <v>26</v>
      </c>
      <c r="G44">
        <v>4</v>
      </c>
      <c r="H44">
        <v>150</v>
      </c>
      <c r="I44">
        <v>600</v>
      </c>
    </row>
    <row r="45">
      <c r="A45" t="s">
        <v>133</v>
      </c>
      <c r="B45" t="s">
        <v>134</v>
      </c>
      <c r="C45" t="s">
        <v>29</v>
      </c>
      <c r="D45" t="s">
        <v>30</v>
      </c>
      <c r="E45" t="s">
        <v>31</v>
      </c>
      <c r="F45" t="s">
        <v>32</v>
      </c>
      <c r="G45">
        <v>5</v>
      </c>
      <c r="H45">
        <v>349.99</v>
      </c>
      <c r="I45">
        <v>1749.95</v>
      </c>
    </row>
    <row r="46">
      <c r="A46" t="s">
        <v>135</v>
      </c>
      <c r="B46" t="s">
        <v>136</v>
      </c>
      <c r="C46" t="s">
        <v>35</v>
      </c>
      <c r="D46" t="s">
        <v>36</v>
      </c>
      <c r="E46" t="s">
        <v>13</v>
      </c>
      <c r="F46" t="s">
        <v>14</v>
      </c>
      <c r="G46">
        <v>1</v>
      </c>
      <c r="H46">
        <v>2499.99</v>
      </c>
      <c r="I46">
        <v>2499.99</v>
      </c>
    </row>
    <row r="47">
      <c r="A47" t="s">
        <v>137</v>
      </c>
      <c r="B47" t="s">
        <v>138</v>
      </c>
      <c r="C47" t="s">
        <v>39</v>
      </c>
      <c r="D47" t="s">
        <v>40</v>
      </c>
      <c r="E47" t="s">
        <v>19</v>
      </c>
      <c r="F47" t="s">
        <v>20</v>
      </c>
      <c r="G47">
        <v>2</v>
      </c>
      <c r="H47">
        <v>299.99</v>
      </c>
      <c r="I47">
        <v>599.98</v>
      </c>
    </row>
    <row r="48">
      <c r="A48" t="s">
        <v>139</v>
      </c>
      <c r="B48" t="s">
        <v>140</v>
      </c>
      <c r="C48" t="s">
        <v>43</v>
      </c>
      <c r="D48" t="s">
        <v>44</v>
      </c>
      <c r="E48" t="s">
        <v>25</v>
      </c>
      <c r="F48" t="s">
        <v>26</v>
      </c>
      <c r="G48">
        <v>3</v>
      </c>
      <c r="H48">
        <v>200</v>
      </c>
      <c r="I48">
        <v>600</v>
      </c>
    </row>
    <row r="49">
      <c r="A49" t="s">
        <v>141</v>
      </c>
      <c r="B49" t="s">
        <v>142</v>
      </c>
      <c r="C49" t="s">
        <v>47</v>
      </c>
      <c r="D49" t="s">
        <v>48</v>
      </c>
      <c r="E49" t="s">
        <v>31</v>
      </c>
      <c r="F49" t="s">
        <v>32</v>
      </c>
      <c r="G49">
        <v>4</v>
      </c>
      <c r="H49">
        <v>599.99</v>
      </c>
      <c r="I49">
        <v>2399.96</v>
      </c>
    </row>
    <row r="50">
      <c r="A50" t="s">
        <v>143</v>
      </c>
      <c r="B50" t="s">
        <v>144</v>
      </c>
      <c r="C50" t="s">
        <v>51</v>
      </c>
      <c r="D50" t="s">
        <v>52</v>
      </c>
      <c r="E50" t="s">
        <v>13</v>
      </c>
      <c r="F50" t="s">
        <v>14</v>
      </c>
      <c r="G50">
        <v>5</v>
      </c>
      <c r="H50">
        <v>799.99</v>
      </c>
      <c r="I50">
        <v>3999.95</v>
      </c>
    </row>
    <row r="51">
      <c r="A51" t="s">
        <v>145</v>
      </c>
      <c r="B51" t="s">
        <v>146</v>
      </c>
      <c r="C51" t="s">
        <v>55</v>
      </c>
      <c r="D51" t="s">
        <v>56</v>
      </c>
      <c r="E51" t="s">
        <v>31</v>
      </c>
      <c r="F51" t="s">
        <v>20</v>
      </c>
      <c r="G51">
        <v>1</v>
      </c>
      <c r="H51">
        <v>1299.99</v>
      </c>
      <c r="I51">
        <v>1299.99</v>
      </c>
    </row>
    <row r="52">
      <c r="A52" t="s">
        <v>147</v>
      </c>
      <c r="B52" t="s">
        <v>148</v>
      </c>
      <c r="C52" t="s">
        <v>59</v>
      </c>
      <c r="D52" t="s">
        <v>12</v>
      </c>
      <c r="E52" t="s">
        <v>13</v>
      </c>
      <c r="F52" t="s">
        <v>26</v>
      </c>
      <c r="G52">
        <v>2</v>
      </c>
      <c r="H52">
        <v>899.99</v>
      </c>
      <c r="I52">
        <v>1799.98</v>
      </c>
    </row>
    <row r="53">
      <c r="A53" t="s">
        <v>149</v>
      </c>
      <c r="B53" t="s">
        <v>150</v>
      </c>
      <c r="C53" t="s">
        <v>62</v>
      </c>
      <c r="D53" t="s">
        <v>18</v>
      </c>
      <c r="E53" t="s">
        <v>19</v>
      </c>
      <c r="F53" t="s">
        <v>32</v>
      </c>
      <c r="G53">
        <v>3</v>
      </c>
      <c r="H53">
        <v>499.99</v>
      </c>
      <c r="I53">
        <v>1499.97</v>
      </c>
    </row>
    <row r="54">
      <c r="A54" t="s">
        <v>151</v>
      </c>
      <c r="B54" t="s">
        <v>152</v>
      </c>
      <c r="C54" t="s">
        <v>65</v>
      </c>
      <c r="D54" t="s">
        <v>24</v>
      </c>
      <c r="E54" t="s">
        <v>25</v>
      </c>
      <c r="F54" t="s">
        <v>14</v>
      </c>
      <c r="G54">
        <v>4</v>
      </c>
      <c r="H54">
        <v>150</v>
      </c>
      <c r="I54">
        <v>600</v>
      </c>
    </row>
    <row r="55">
      <c r="A55" t="s">
        <v>153</v>
      </c>
      <c r="B55" t="s">
        <v>154</v>
      </c>
      <c r="C55" t="s">
        <v>68</v>
      </c>
      <c r="D55" t="s">
        <v>30</v>
      </c>
      <c r="E55" t="s">
        <v>31</v>
      </c>
      <c r="F55" t="s">
        <v>20</v>
      </c>
      <c r="G55">
        <v>5</v>
      </c>
      <c r="H55">
        <v>349.99</v>
      </c>
      <c r="I55">
        <v>1749.95</v>
      </c>
    </row>
    <row r="56">
      <c r="A56" t="s">
        <v>155</v>
      </c>
      <c r="B56" t="s">
        <v>156</v>
      </c>
      <c r="C56" t="s">
        <v>71</v>
      </c>
      <c r="D56" t="s">
        <v>36</v>
      </c>
      <c r="E56" t="s">
        <v>13</v>
      </c>
      <c r="F56" t="s">
        <v>26</v>
      </c>
      <c r="G56">
        <v>1</v>
      </c>
      <c r="H56">
        <v>2499.99</v>
      </c>
      <c r="I56">
        <v>2499.99</v>
      </c>
    </row>
    <row r="57">
      <c r="A57" t="s">
        <v>157</v>
      </c>
      <c r="B57" t="s">
        <v>158</v>
      </c>
      <c r="C57" t="s">
        <v>74</v>
      </c>
      <c r="D57" t="s">
        <v>40</v>
      </c>
      <c r="E57" t="s">
        <v>19</v>
      </c>
      <c r="F57" t="s">
        <v>32</v>
      </c>
      <c r="G57">
        <v>2</v>
      </c>
      <c r="H57">
        <v>299.99</v>
      </c>
      <c r="I57">
        <v>599.98</v>
      </c>
    </row>
    <row r="58">
      <c r="A58" t="s">
        <v>159</v>
      </c>
      <c r="B58" t="s">
        <v>160</v>
      </c>
      <c r="C58" t="s">
        <v>77</v>
      </c>
      <c r="D58" t="s">
        <v>44</v>
      </c>
      <c r="E58" t="s">
        <v>25</v>
      </c>
      <c r="F58" t="s">
        <v>14</v>
      </c>
      <c r="G58">
        <v>3</v>
      </c>
      <c r="H58">
        <v>200</v>
      </c>
      <c r="I58">
        <v>600</v>
      </c>
    </row>
    <row r="59">
      <c r="A59" t="s">
        <v>161</v>
      </c>
      <c r="B59" t="s">
        <v>162</v>
      </c>
      <c r="C59" t="s">
        <v>80</v>
      </c>
      <c r="D59" t="s">
        <v>48</v>
      </c>
      <c r="E59" t="s">
        <v>31</v>
      </c>
      <c r="F59" t="s">
        <v>20</v>
      </c>
      <c r="G59">
        <v>4</v>
      </c>
      <c r="H59">
        <v>599.99</v>
      </c>
      <c r="I59">
        <v>2399.96</v>
      </c>
    </row>
    <row r="60">
      <c r="A60" t="s">
        <v>163</v>
      </c>
      <c r="B60" t="s">
        <v>164</v>
      </c>
      <c r="C60" t="s">
        <v>83</v>
      </c>
      <c r="D60" t="s">
        <v>52</v>
      </c>
      <c r="E60" t="s">
        <v>13</v>
      </c>
      <c r="F60" t="s">
        <v>26</v>
      </c>
      <c r="G60">
        <v>5</v>
      </c>
      <c r="H60">
        <v>799.99</v>
      </c>
      <c r="I60">
        <v>3999.95</v>
      </c>
    </row>
    <row r="61">
      <c r="A61" t="s">
        <v>165</v>
      </c>
      <c r="B61" t="s">
        <v>166</v>
      </c>
      <c r="C61" t="s">
        <v>86</v>
      </c>
      <c r="D61" t="s">
        <v>56</v>
      </c>
      <c r="E61" t="s">
        <v>31</v>
      </c>
      <c r="F61" t="s">
        <v>32</v>
      </c>
      <c r="G61">
        <v>1</v>
      </c>
      <c r="H61">
        <v>1299.99</v>
      </c>
      <c r="I61">
        <v>1299.99</v>
      </c>
    </row>
    <row r="62">
      <c r="A62" t="s">
        <v>167</v>
      </c>
      <c r="B62" t="s">
        <v>168</v>
      </c>
      <c r="C62" t="s">
        <v>11</v>
      </c>
      <c r="D62" t="s">
        <v>12</v>
      </c>
      <c r="E62" t="s">
        <v>13</v>
      </c>
      <c r="F62" t="s">
        <v>14</v>
      </c>
      <c r="G62">
        <v>2</v>
      </c>
      <c r="H62">
        <v>899.99</v>
      </c>
      <c r="I62">
        <v>1799.98</v>
      </c>
    </row>
    <row r="63">
      <c r="A63" t="s">
        <v>169</v>
      </c>
      <c r="B63" t="s">
        <v>170</v>
      </c>
      <c r="C63" t="s">
        <v>17</v>
      </c>
      <c r="D63" t="s">
        <v>18</v>
      </c>
      <c r="E63" t="s">
        <v>19</v>
      </c>
      <c r="F63" t="s">
        <v>20</v>
      </c>
      <c r="G63">
        <v>3</v>
      </c>
      <c r="H63">
        <v>499.99</v>
      </c>
      <c r="I63">
        <v>1499.97</v>
      </c>
    </row>
    <row r="64">
      <c r="A64" t="s">
        <v>171</v>
      </c>
      <c r="B64" t="s">
        <v>172</v>
      </c>
      <c r="C64" t="s">
        <v>23</v>
      </c>
      <c r="D64" t="s">
        <v>24</v>
      </c>
      <c r="E64" t="s">
        <v>25</v>
      </c>
      <c r="F64" t="s">
        <v>26</v>
      </c>
      <c r="G64">
        <v>4</v>
      </c>
      <c r="H64">
        <v>150</v>
      </c>
      <c r="I64">
        <v>600</v>
      </c>
    </row>
    <row r="65">
      <c r="A65" t="s">
        <v>173</v>
      </c>
      <c r="B65" t="s">
        <v>174</v>
      </c>
      <c r="C65" t="s">
        <v>29</v>
      </c>
      <c r="D65" t="s">
        <v>30</v>
      </c>
      <c r="E65" t="s">
        <v>31</v>
      </c>
      <c r="F65" t="s">
        <v>32</v>
      </c>
      <c r="G65">
        <v>5</v>
      </c>
      <c r="H65">
        <v>349.99</v>
      </c>
      <c r="I65">
        <v>1749.95</v>
      </c>
    </row>
    <row r="66">
      <c r="A66" t="s">
        <v>175</v>
      </c>
      <c r="B66" t="s">
        <v>176</v>
      </c>
      <c r="C66" t="s">
        <v>35</v>
      </c>
      <c r="D66" t="s">
        <v>36</v>
      </c>
      <c r="E66" t="s">
        <v>13</v>
      </c>
      <c r="F66" t="s">
        <v>14</v>
      </c>
      <c r="G66">
        <v>1</v>
      </c>
      <c r="H66">
        <v>2499.99</v>
      </c>
      <c r="I66">
        <v>2499.99</v>
      </c>
    </row>
    <row r="67">
      <c r="A67" t="s">
        <v>177</v>
      </c>
      <c r="B67" t="s">
        <v>178</v>
      </c>
      <c r="C67" t="s">
        <v>39</v>
      </c>
      <c r="D67" t="s">
        <v>40</v>
      </c>
      <c r="E67" t="s">
        <v>19</v>
      </c>
      <c r="F67" t="s">
        <v>20</v>
      </c>
      <c r="G67">
        <v>2</v>
      </c>
      <c r="H67">
        <v>299.99</v>
      </c>
      <c r="I67">
        <v>599.98</v>
      </c>
    </row>
    <row r="68">
      <c r="A68" t="s">
        <v>179</v>
      </c>
      <c r="B68" t="s">
        <v>180</v>
      </c>
      <c r="C68" t="s">
        <v>43</v>
      </c>
      <c r="D68" t="s">
        <v>44</v>
      </c>
      <c r="E68" t="s">
        <v>25</v>
      </c>
      <c r="F68" t="s">
        <v>26</v>
      </c>
      <c r="G68">
        <v>3</v>
      </c>
      <c r="H68">
        <v>200</v>
      </c>
      <c r="I68">
        <v>600</v>
      </c>
    </row>
    <row r="69">
      <c r="A69" t="s">
        <v>181</v>
      </c>
      <c r="B69" t="s">
        <v>182</v>
      </c>
      <c r="C69" t="s">
        <v>47</v>
      </c>
      <c r="D69" t="s">
        <v>48</v>
      </c>
      <c r="E69" t="s">
        <v>31</v>
      </c>
      <c r="F69" t="s">
        <v>32</v>
      </c>
      <c r="G69">
        <v>4</v>
      </c>
      <c r="H69">
        <v>599.99</v>
      </c>
      <c r="I69">
        <v>2399.96</v>
      </c>
    </row>
    <row r="70">
      <c r="A70" t="s">
        <v>183</v>
      </c>
      <c r="B70" t="s">
        <v>184</v>
      </c>
      <c r="C70" t="s">
        <v>51</v>
      </c>
      <c r="D70" t="s">
        <v>52</v>
      </c>
      <c r="E70" t="s">
        <v>13</v>
      </c>
      <c r="F70" t="s">
        <v>14</v>
      </c>
      <c r="G70">
        <v>5</v>
      </c>
      <c r="H70">
        <v>799.99</v>
      </c>
      <c r="I70">
        <v>3999.95</v>
      </c>
    </row>
    <row r="71">
      <c r="A71" t="s">
        <v>185</v>
      </c>
      <c r="B71" t="s">
        <v>186</v>
      </c>
      <c r="C71" t="s">
        <v>55</v>
      </c>
      <c r="D71" t="s">
        <v>56</v>
      </c>
      <c r="E71" t="s">
        <v>31</v>
      </c>
      <c r="F71" t="s">
        <v>20</v>
      </c>
      <c r="G71">
        <v>1</v>
      </c>
      <c r="H71">
        <v>1299.99</v>
      </c>
      <c r="I71">
        <v>1299.99</v>
      </c>
    </row>
    <row r="72">
      <c r="A72" t="s">
        <v>187</v>
      </c>
      <c r="B72" t="s">
        <v>188</v>
      </c>
      <c r="C72" t="s">
        <v>59</v>
      </c>
      <c r="D72" t="s">
        <v>12</v>
      </c>
      <c r="E72" t="s">
        <v>13</v>
      </c>
      <c r="F72" t="s">
        <v>26</v>
      </c>
      <c r="G72">
        <v>2</v>
      </c>
      <c r="H72">
        <v>899.99</v>
      </c>
      <c r="I72">
        <v>1799.98</v>
      </c>
    </row>
    <row r="73">
      <c r="A73" t="s">
        <v>189</v>
      </c>
      <c r="B73" t="s">
        <v>190</v>
      </c>
      <c r="C73" t="s">
        <v>62</v>
      </c>
      <c r="D73" t="s">
        <v>18</v>
      </c>
      <c r="E73" t="s">
        <v>19</v>
      </c>
      <c r="F73" t="s">
        <v>32</v>
      </c>
      <c r="G73">
        <v>3</v>
      </c>
      <c r="H73">
        <v>499.99</v>
      </c>
      <c r="I73">
        <v>1499.97</v>
      </c>
    </row>
    <row r="74">
      <c r="A74" t="s">
        <v>191</v>
      </c>
      <c r="B74" t="s">
        <v>192</v>
      </c>
      <c r="C74" t="s">
        <v>65</v>
      </c>
      <c r="D74" t="s">
        <v>24</v>
      </c>
      <c r="E74" t="s">
        <v>25</v>
      </c>
      <c r="F74" t="s">
        <v>14</v>
      </c>
      <c r="G74">
        <v>4</v>
      </c>
      <c r="H74">
        <v>150</v>
      </c>
      <c r="I74">
        <v>600</v>
      </c>
    </row>
    <row r="75">
      <c r="A75" t="s">
        <v>193</v>
      </c>
      <c r="B75" t="s">
        <v>194</v>
      </c>
      <c r="C75" t="s">
        <v>68</v>
      </c>
      <c r="D75" t="s">
        <v>30</v>
      </c>
      <c r="E75" t="s">
        <v>31</v>
      </c>
      <c r="F75" t="s">
        <v>20</v>
      </c>
      <c r="G75">
        <v>5</v>
      </c>
      <c r="H75">
        <v>349.99</v>
      </c>
      <c r="I75">
        <v>1749.95</v>
      </c>
    </row>
    <row r="76">
      <c r="A76" t="s">
        <v>195</v>
      </c>
      <c r="B76" t="s">
        <v>196</v>
      </c>
      <c r="C76" t="s">
        <v>71</v>
      </c>
      <c r="D76" t="s">
        <v>36</v>
      </c>
      <c r="E76" t="s">
        <v>13</v>
      </c>
      <c r="F76" t="s">
        <v>26</v>
      </c>
      <c r="G76">
        <v>1</v>
      </c>
      <c r="H76">
        <v>2499.99</v>
      </c>
      <c r="I76">
        <v>2499.99</v>
      </c>
    </row>
    <row r="77">
      <c r="A77" t="s">
        <v>197</v>
      </c>
      <c r="B77" t="s">
        <v>198</v>
      </c>
      <c r="C77" t="s">
        <v>74</v>
      </c>
      <c r="D77" t="s">
        <v>40</v>
      </c>
      <c r="E77" t="s">
        <v>19</v>
      </c>
      <c r="F77" t="s">
        <v>32</v>
      </c>
      <c r="G77">
        <v>2</v>
      </c>
      <c r="H77">
        <v>299.99</v>
      </c>
      <c r="I77">
        <v>599.98</v>
      </c>
    </row>
    <row r="78">
      <c r="A78" t="s">
        <v>199</v>
      </c>
      <c r="B78" t="s">
        <v>200</v>
      </c>
      <c r="C78" t="s">
        <v>77</v>
      </c>
      <c r="D78" t="s">
        <v>44</v>
      </c>
      <c r="E78" t="s">
        <v>25</v>
      </c>
      <c r="F78" t="s">
        <v>14</v>
      </c>
      <c r="G78">
        <v>3</v>
      </c>
      <c r="H78">
        <v>200</v>
      </c>
      <c r="I78">
        <v>600</v>
      </c>
    </row>
    <row r="79">
      <c r="A79" t="s">
        <v>201</v>
      </c>
      <c r="B79" t="s">
        <v>202</v>
      </c>
      <c r="C79" t="s">
        <v>80</v>
      </c>
      <c r="D79" t="s">
        <v>48</v>
      </c>
      <c r="E79" t="s">
        <v>31</v>
      </c>
      <c r="F79" t="s">
        <v>20</v>
      </c>
      <c r="G79">
        <v>4</v>
      </c>
      <c r="H79">
        <v>599.99</v>
      </c>
      <c r="I79">
        <v>2399.96</v>
      </c>
    </row>
    <row r="80">
      <c r="A80" t="s">
        <v>203</v>
      </c>
      <c r="B80" t="s">
        <v>204</v>
      </c>
      <c r="C80" t="s">
        <v>83</v>
      </c>
      <c r="D80" t="s">
        <v>52</v>
      </c>
      <c r="E80" t="s">
        <v>13</v>
      </c>
      <c r="F80" t="s">
        <v>26</v>
      </c>
      <c r="G80">
        <v>5</v>
      </c>
      <c r="H80">
        <v>799.99</v>
      </c>
      <c r="I80">
        <v>3999.95</v>
      </c>
    </row>
    <row r="81">
      <c r="A81" t="s">
        <v>205</v>
      </c>
      <c r="B81" t="s">
        <v>206</v>
      </c>
      <c r="C81" t="s">
        <v>86</v>
      </c>
      <c r="D81" t="s">
        <v>56</v>
      </c>
      <c r="E81" t="s">
        <v>31</v>
      </c>
      <c r="F81" t="s">
        <v>32</v>
      </c>
      <c r="G81">
        <v>1</v>
      </c>
      <c r="H81">
        <v>1299.99</v>
      </c>
      <c r="I81">
        <v>1299.99</v>
      </c>
    </row>
    <row r="82">
      <c r="A82" t="s">
        <v>207</v>
      </c>
      <c r="B82" t="s">
        <v>208</v>
      </c>
      <c r="C82" t="s">
        <v>11</v>
      </c>
      <c r="D82" t="s">
        <v>12</v>
      </c>
      <c r="E82" t="s">
        <v>13</v>
      </c>
      <c r="F82" t="s">
        <v>14</v>
      </c>
      <c r="G82">
        <v>2</v>
      </c>
      <c r="H82">
        <v>899.99</v>
      </c>
      <c r="I82">
        <v>1799.98</v>
      </c>
    </row>
    <row r="83">
      <c r="A83" t="s">
        <v>209</v>
      </c>
      <c r="B83" t="s">
        <v>210</v>
      </c>
      <c r="C83" t="s">
        <v>17</v>
      </c>
      <c r="D83" t="s">
        <v>18</v>
      </c>
      <c r="E83" t="s">
        <v>19</v>
      </c>
      <c r="F83" t="s">
        <v>20</v>
      </c>
      <c r="G83">
        <v>3</v>
      </c>
      <c r="H83">
        <v>499.99</v>
      </c>
      <c r="I83">
        <v>1499.97</v>
      </c>
    </row>
    <row r="84">
      <c r="A84" t="s">
        <v>211</v>
      </c>
      <c r="B84" t="s">
        <v>212</v>
      </c>
      <c r="C84" t="s">
        <v>23</v>
      </c>
      <c r="D84" t="s">
        <v>24</v>
      </c>
      <c r="E84" t="s">
        <v>25</v>
      </c>
      <c r="F84" t="s">
        <v>26</v>
      </c>
      <c r="G84">
        <v>4</v>
      </c>
      <c r="H84">
        <v>150</v>
      </c>
      <c r="I84">
        <v>600</v>
      </c>
    </row>
    <row r="85">
      <c r="A85" t="s">
        <v>213</v>
      </c>
      <c r="B85" t="s">
        <v>214</v>
      </c>
      <c r="C85" t="s">
        <v>29</v>
      </c>
      <c r="D85" t="s">
        <v>30</v>
      </c>
      <c r="E85" t="s">
        <v>31</v>
      </c>
      <c r="F85" t="s">
        <v>32</v>
      </c>
      <c r="G85">
        <v>5</v>
      </c>
      <c r="H85">
        <v>349.99</v>
      </c>
      <c r="I85">
        <v>1749.95</v>
      </c>
    </row>
    <row r="86">
      <c r="A86" t="s">
        <v>215</v>
      </c>
      <c r="B86" t="s">
        <v>10</v>
      </c>
      <c r="C86" t="s">
        <v>35</v>
      </c>
      <c r="D86" t="s">
        <v>36</v>
      </c>
      <c r="E86" t="s">
        <v>13</v>
      </c>
      <c r="F86" t="s">
        <v>14</v>
      </c>
      <c r="G86">
        <v>1</v>
      </c>
      <c r="H86">
        <v>2499.99</v>
      </c>
      <c r="I86">
        <v>2499.99</v>
      </c>
    </row>
    <row r="87">
      <c r="A87" t="s">
        <v>216</v>
      </c>
      <c r="B87" t="s">
        <v>16</v>
      </c>
      <c r="C87" t="s">
        <v>39</v>
      </c>
      <c r="D87" t="s">
        <v>40</v>
      </c>
      <c r="E87" t="s">
        <v>19</v>
      </c>
      <c r="F87" t="s">
        <v>20</v>
      </c>
      <c r="G87">
        <v>2</v>
      </c>
      <c r="H87">
        <v>299.99</v>
      </c>
      <c r="I87">
        <v>599.98</v>
      </c>
    </row>
    <row r="88">
      <c r="A88" t="s">
        <v>217</v>
      </c>
      <c r="B88" t="s">
        <v>22</v>
      </c>
      <c r="C88" t="s">
        <v>43</v>
      </c>
      <c r="D88" t="s">
        <v>44</v>
      </c>
      <c r="E88" t="s">
        <v>25</v>
      </c>
      <c r="F88" t="s">
        <v>26</v>
      </c>
      <c r="G88">
        <v>3</v>
      </c>
      <c r="H88">
        <v>200</v>
      </c>
      <c r="I88">
        <v>600</v>
      </c>
    </row>
    <row r="89">
      <c r="A89" t="s">
        <v>218</v>
      </c>
      <c r="B89" t="s">
        <v>28</v>
      </c>
      <c r="C89" t="s">
        <v>47</v>
      </c>
      <c r="D89" t="s">
        <v>48</v>
      </c>
      <c r="E89" t="s">
        <v>31</v>
      </c>
      <c r="F89" t="s">
        <v>32</v>
      </c>
      <c r="G89">
        <v>4</v>
      </c>
      <c r="H89">
        <v>599.99</v>
      </c>
      <c r="I89">
        <v>2399.96</v>
      </c>
    </row>
    <row r="90">
      <c r="A90" t="s">
        <v>219</v>
      </c>
      <c r="B90" t="s">
        <v>34</v>
      </c>
      <c r="C90" t="s">
        <v>51</v>
      </c>
      <c r="D90" t="s">
        <v>52</v>
      </c>
      <c r="E90" t="s">
        <v>13</v>
      </c>
      <c r="F90" t="s">
        <v>14</v>
      </c>
      <c r="G90">
        <v>5</v>
      </c>
      <c r="H90">
        <v>799.99</v>
      </c>
      <c r="I90">
        <v>3999.95</v>
      </c>
    </row>
    <row r="91">
      <c r="A91" t="s">
        <v>220</v>
      </c>
      <c r="B91" t="s">
        <v>38</v>
      </c>
      <c r="C91" t="s">
        <v>55</v>
      </c>
      <c r="D91" t="s">
        <v>56</v>
      </c>
      <c r="E91" t="s">
        <v>31</v>
      </c>
      <c r="F91" t="s">
        <v>20</v>
      </c>
      <c r="G91">
        <v>1</v>
      </c>
      <c r="H91">
        <v>1299.99</v>
      </c>
      <c r="I91">
        <v>1299.99</v>
      </c>
    </row>
    <row r="92">
      <c r="A92" t="s">
        <v>221</v>
      </c>
      <c r="B92" t="s">
        <v>42</v>
      </c>
      <c r="C92" t="s">
        <v>59</v>
      </c>
      <c r="D92" t="s">
        <v>12</v>
      </c>
      <c r="E92" t="s">
        <v>13</v>
      </c>
      <c r="F92" t="s">
        <v>26</v>
      </c>
      <c r="G92">
        <v>2</v>
      </c>
      <c r="H92">
        <v>899.99</v>
      </c>
      <c r="I92">
        <v>1799.98</v>
      </c>
    </row>
    <row r="93">
      <c r="A93" t="s">
        <v>222</v>
      </c>
      <c r="B93" t="s">
        <v>46</v>
      </c>
      <c r="C93" t="s">
        <v>62</v>
      </c>
      <c r="D93" t="s">
        <v>18</v>
      </c>
      <c r="E93" t="s">
        <v>19</v>
      </c>
      <c r="F93" t="s">
        <v>32</v>
      </c>
      <c r="G93">
        <v>3</v>
      </c>
      <c r="H93">
        <v>499.99</v>
      </c>
      <c r="I93">
        <v>1499.97</v>
      </c>
    </row>
    <row r="94">
      <c r="A94" t="s">
        <v>223</v>
      </c>
      <c r="B94" t="s">
        <v>50</v>
      </c>
      <c r="C94" t="s">
        <v>65</v>
      </c>
      <c r="D94" t="s">
        <v>24</v>
      </c>
      <c r="E94" t="s">
        <v>25</v>
      </c>
      <c r="F94" t="s">
        <v>14</v>
      </c>
      <c r="G94">
        <v>4</v>
      </c>
      <c r="H94">
        <v>150</v>
      </c>
      <c r="I94">
        <v>600</v>
      </c>
    </row>
    <row r="95">
      <c r="A95" t="s">
        <v>224</v>
      </c>
      <c r="B95" t="s">
        <v>54</v>
      </c>
      <c r="C95" t="s">
        <v>68</v>
      </c>
      <c r="D95" t="s">
        <v>30</v>
      </c>
      <c r="E95" t="s">
        <v>31</v>
      </c>
      <c r="F95" t="s">
        <v>20</v>
      </c>
      <c r="G95">
        <v>5</v>
      </c>
      <c r="H95">
        <v>349.99</v>
      </c>
      <c r="I95">
        <v>1749.95</v>
      </c>
    </row>
    <row r="96">
      <c r="A96" t="s">
        <v>225</v>
      </c>
      <c r="B96" t="s">
        <v>58</v>
      </c>
      <c r="C96" t="s">
        <v>71</v>
      </c>
      <c r="D96" t="s">
        <v>36</v>
      </c>
      <c r="E96" t="s">
        <v>13</v>
      </c>
      <c r="F96" t="s">
        <v>26</v>
      </c>
      <c r="G96">
        <v>1</v>
      </c>
      <c r="H96">
        <v>2499.99</v>
      </c>
      <c r="I96">
        <v>2499.99</v>
      </c>
    </row>
    <row r="97">
      <c r="A97" t="s">
        <v>226</v>
      </c>
      <c r="B97" t="s">
        <v>61</v>
      </c>
      <c r="C97" t="s">
        <v>74</v>
      </c>
      <c r="D97" t="s">
        <v>40</v>
      </c>
      <c r="E97" t="s">
        <v>19</v>
      </c>
      <c r="F97" t="s">
        <v>32</v>
      </c>
      <c r="G97">
        <v>2</v>
      </c>
      <c r="H97">
        <v>299.99</v>
      </c>
      <c r="I97">
        <v>599.98</v>
      </c>
    </row>
    <row r="98">
      <c r="A98" t="s">
        <v>227</v>
      </c>
      <c r="B98" t="s">
        <v>64</v>
      </c>
      <c r="C98" t="s">
        <v>77</v>
      </c>
      <c r="D98" t="s">
        <v>44</v>
      </c>
      <c r="E98" t="s">
        <v>25</v>
      </c>
      <c r="F98" t="s">
        <v>14</v>
      </c>
      <c r="G98">
        <v>3</v>
      </c>
      <c r="H98">
        <v>200</v>
      </c>
      <c r="I98">
        <v>600</v>
      </c>
    </row>
    <row r="99">
      <c r="A99" t="s">
        <v>228</v>
      </c>
      <c r="B99" t="s">
        <v>67</v>
      </c>
      <c r="C99" t="s">
        <v>80</v>
      </c>
      <c r="D99" t="s">
        <v>48</v>
      </c>
      <c r="E99" t="s">
        <v>31</v>
      </c>
      <c r="F99" t="s">
        <v>20</v>
      </c>
      <c r="G99">
        <v>4</v>
      </c>
      <c r="H99">
        <v>599.99</v>
      </c>
      <c r="I99">
        <v>2399.96</v>
      </c>
    </row>
    <row r="100">
      <c r="A100" t="s">
        <v>229</v>
      </c>
      <c r="B100" t="s">
        <v>70</v>
      </c>
      <c r="C100" t="s">
        <v>83</v>
      </c>
      <c r="D100" t="s">
        <v>52</v>
      </c>
      <c r="E100" t="s">
        <v>13</v>
      </c>
      <c r="F100" t="s">
        <v>26</v>
      </c>
      <c r="G100">
        <v>5</v>
      </c>
      <c r="H100">
        <v>799.99</v>
      </c>
      <c r="I100">
        <v>3999.95</v>
      </c>
    </row>
    <row r="101">
      <c r="A101" t="s">
        <v>230</v>
      </c>
      <c r="B101" t="s">
        <v>73</v>
      </c>
      <c r="C101" t="s">
        <v>86</v>
      </c>
      <c r="D101" t="s">
        <v>56</v>
      </c>
      <c r="E101" t="s">
        <v>31</v>
      </c>
      <c r="F101" t="s">
        <v>32</v>
      </c>
      <c r="G101">
        <v>1</v>
      </c>
      <c r="H101">
        <v>1299.99</v>
      </c>
      <c r="I101">
        <v>1299.99</v>
      </c>
    </row>
  </sheetData>
</worksheet>
</file>

<file path=xl/worksheets/sheet3.xml><?xml version="1.0" encoding="utf-8"?>
<worksheet xmlns="http://schemas.openxmlformats.org/spreadsheetml/2006/main">
  <dimension ref="A1"/>
  <sheetViews>
    <sheetView workbookViewId="0"/>
  </sheetViews>
  <sheetData>
    <row r="1">
      <c r="A1" t="s">
        <v>2</v>
      </c>
      <c r="B1" t="s">
        <v>231</v>
      </c>
      <c r="C1" t="s">
        <v>232</v>
      </c>
    </row>
    <row r="2">
      <c r="A2" t="s">
        <v>86</v>
      </c>
      <c r="B2" t="s">
        <v>233</v>
      </c>
      <c r="C2" t="s">
        <v>234</v>
      </c>
    </row>
    <row r="3">
      <c r="A3" t="s">
        <v>11</v>
      </c>
      <c r="B3" t="s">
        <v>235</v>
      </c>
      <c r="C3" t="s">
        <v>236</v>
      </c>
    </row>
    <row r="4">
      <c r="A4" t="s">
        <v>17</v>
      </c>
      <c r="B4" t="s">
        <v>237</v>
      </c>
      <c r="C4" t="s">
        <v>238</v>
      </c>
    </row>
    <row r="5">
      <c r="A5" t="s">
        <v>23</v>
      </c>
      <c r="B5" t="s">
        <v>239</v>
      </c>
      <c r="C5" t="s">
        <v>234</v>
      </c>
    </row>
    <row r="6">
      <c r="A6" t="s">
        <v>29</v>
      </c>
      <c r="B6" t="s">
        <v>240</v>
      </c>
      <c r="C6" t="s">
        <v>236</v>
      </c>
    </row>
    <row r="7">
      <c r="A7" t="s">
        <v>35</v>
      </c>
      <c r="B7" t="s">
        <v>241</v>
      </c>
      <c r="C7" t="s">
        <v>238</v>
      </c>
    </row>
    <row r="8">
      <c r="A8" t="s">
        <v>39</v>
      </c>
      <c r="B8" t="s">
        <v>242</v>
      </c>
      <c r="C8" t="s">
        <v>234</v>
      </c>
    </row>
    <row r="9">
      <c r="A9" t="s">
        <v>43</v>
      </c>
      <c r="B9" t="s">
        <v>243</v>
      </c>
      <c r="C9" t="s">
        <v>236</v>
      </c>
    </row>
    <row r="10">
      <c r="A10" t="s">
        <v>47</v>
      </c>
      <c r="B10" t="s">
        <v>244</v>
      </c>
      <c r="C10" t="s">
        <v>238</v>
      </c>
    </row>
    <row r="11">
      <c r="A11" t="s">
        <v>51</v>
      </c>
      <c r="B11" t="s">
        <v>245</v>
      </c>
      <c r="C11" t="s">
        <v>234</v>
      </c>
    </row>
    <row r="12">
      <c r="A12" t="s">
        <v>55</v>
      </c>
      <c r="B12" t="s">
        <v>246</v>
      </c>
      <c r="C12" t="s">
        <v>236</v>
      </c>
    </row>
    <row r="13">
      <c r="A13" t="s">
        <v>59</v>
      </c>
      <c r="B13" t="s">
        <v>247</v>
      </c>
      <c r="C13" t="s">
        <v>238</v>
      </c>
    </row>
    <row r="14">
      <c r="A14" t="s">
        <v>62</v>
      </c>
      <c r="B14" t="s">
        <v>248</v>
      </c>
      <c r="C14" t="s">
        <v>234</v>
      </c>
    </row>
    <row r="15">
      <c r="A15" t="s">
        <v>65</v>
      </c>
      <c r="B15" t="s">
        <v>249</v>
      </c>
      <c r="C15" t="s">
        <v>236</v>
      </c>
    </row>
    <row r="16">
      <c r="A16" t="s">
        <v>68</v>
      </c>
      <c r="B16" t="s">
        <v>250</v>
      </c>
      <c r="C16" t="s">
        <v>238</v>
      </c>
    </row>
    <row r="17">
      <c r="A17" t="s">
        <v>71</v>
      </c>
      <c r="B17" t="s">
        <v>251</v>
      </c>
      <c r="C17" t="s">
        <v>234</v>
      </c>
    </row>
    <row r="18">
      <c r="A18" t="s">
        <v>74</v>
      </c>
      <c r="B18" t="s">
        <v>252</v>
      </c>
      <c r="C18" t="s">
        <v>236</v>
      </c>
    </row>
    <row r="19">
      <c r="A19" t="s">
        <v>77</v>
      </c>
      <c r="B19" t="s">
        <v>253</v>
      </c>
      <c r="C19" t="s">
        <v>238</v>
      </c>
    </row>
    <row r="20">
      <c r="A20" t="s">
        <v>80</v>
      </c>
      <c r="B20" t="s">
        <v>254</v>
      </c>
      <c r="C20" t="s">
        <v>234</v>
      </c>
    </row>
    <row r="21">
      <c r="A21" t="s">
        <v>83</v>
      </c>
      <c r="B21" t="s">
        <v>255</v>
      </c>
      <c r="C21" t="s">
        <v>236</v>
      </c>
    </row>
  </sheetData>
</worksheet>
</file>

<file path=xl/worksheets/sheet4.xml><?xml version="1.0" encoding="utf-8"?>
<worksheet xmlns="http://schemas.openxmlformats.org/spreadsheetml/2006/main">
  <dimension ref="A1"/>
  <sheetViews>
    <sheetView workbookViewId="0"/>
  </sheetViews>
  <sheetData>
    <row r="1">
      <c r="A1" t="s">
        <v>256</v>
      </c>
      <c r="B1" t="s">
        <v>257</v>
      </c>
    </row>
    <row r="2">
      <c r="A2" t="s">
        <v>258</v>
      </c>
      <c r="B2" t="s">
        <v>259</v>
      </c>
    </row>
    <row r="3">
      <c r="A3" t="s">
        <v>260</v>
      </c>
      <c r="B3" t="s">
        <v>261</v>
      </c>
    </row>
    <row r="4">
      <c r="A4" t="s">
        <v>262</v>
      </c>
      <c r="B4" t="s">
        <v>263</v>
      </c>
    </row>
    <row r="5">
      <c r="A5" t="str">
        <f>Max Single Invoice</f>
      </c>
      <c r="B5" t="str">
        <f>=MAX(Invoices.I:I)</f>
      </c>
    </row>
  </sheetData>
</worksheet>
</file>

<file path=xl/worksheets/sheet5.xml><?xml version="1.0" encoding="utf-8"?>
<worksheet xmlns="http://schemas.openxmlformats.org/spreadsheetml/2006/main">
  <dimension ref="A1"/>
  <sheetViews>
    <sheetView workbookViewId="0"/>
  </sheetViews>
  <sheetData>
    <row r="1">
      <c r="A1" t="s">
        <v>5</v>
      </c>
      <c r="B1" t="s">
        <v>264</v>
      </c>
      <c r="C1" t="s">
        <v>265</v>
      </c>
      <c r="D1" t="s">
        <v>266</v>
      </c>
    </row>
    <row r="2">
      <c r="A2" t="s">
        <v>32</v>
      </c>
      <c r="B2" t="s">
        <v>267</v>
      </c>
      <c r="C2" t="s">
        <v>268</v>
      </c>
      <c r="D2" t="s">
        <v>269</v>
      </c>
    </row>
    <row r="3">
      <c r="A3" t="s">
        <v>14</v>
      </c>
      <c r="B3" t="s">
        <v>270</v>
      </c>
      <c r="C3" t="s">
        <v>271</v>
      </c>
      <c r="D3" t="s">
        <v>272</v>
      </c>
    </row>
    <row r="4">
      <c r="A4" t="s">
        <v>20</v>
      </c>
      <c r="B4" t="s">
        <v>273</v>
      </c>
      <c r="C4" t="s">
        <v>274</v>
      </c>
      <c r="D4" t="s">
        <v>275</v>
      </c>
    </row>
    <row r="5">
      <c r="A5" t="s">
        <v>26</v>
      </c>
      <c r="B5" t="s">
        <v>276</v>
      </c>
      <c r="C5" t="s">
        <v>277</v>
      </c>
      <c r="D5" t="s">
        <v>278</v>
      </c>
    </row>
  </sheetData>
</worksheet>
</file>

<file path=xl/worksheets/sheet6.xml><?xml version="1.0" encoding="utf-8"?>
<worksheet xmlns="http://schemas.openxmlformats.org/spreadsheetml/2006/main">
  <dimension ref="A1"/>
  <sheetViews>
    <sheetView workbookViewId="0"/>
  </sheetViews>
  <sheetData>
    <row r="1">
      <c r="A1" t="s">
        <v>4</v>
      </c>
      <c r="B1" t="s">
        <v>264</v>
      </c>
      <c r="C1" t="s">
        <v>265</v>
      </c>
    </row>
    <row r="2">
      <c r="A2" t="s">
        <v>31</v>
      </c>
      <c r="B2" t="s">
        <v>279</v>
      </c>
      <c r="C2" t="s">
        <v>280</v>
      </c>
    </row>
    <row r="3">
      <c r="A3" t="s">
        <v>19</v>
      </c>
      <c r="B3" t="s">
        <v>281</v>
      </c>
      <c r="C3" t="s">
        <v>282</v>
      </c>
    </row>
    <row r="4">
      <c r="A4" t="s">
        <v>25</v>
      </c>
      <c r="B4" t="s">
        <v>283</v>
      </c>
      <c r="C4" t="s">
        <v>284</v>
      </c>
    </row>
    <row r="5">
      <c r="A5" t="s">
        <v>13</v>
      </c>
      <c r="B5" t="s">
        <v>285</v>
      </c>
      <c r="C5" t="s">
        <v>286</v>
      </c>
    </row>
  </sheetData>
</worksheet>
</file>

<file path=xl/worksheets/sheet7.xml><?xml version="1.0" encoding="utf-8"?>
<worksheet xmlns="http://schemas.openxmlformats.org/spreadsheetml/2006/main">
  <dimension ref="A1"/>
  <sheetViews>
    <sheetView workbookViewId="0"/>
  </sheetViews>
  <sheetData>
    <row r="1">
      <c r="A1" t="s">
        <v>232</v>
      </c>
      <c r="B1" t="s">
        <v>264</v>
      </c>
      <c r="C1" t="s">
        <v>287</v>
      </c>
    </row>
    <row r="2">
      <c r="A2" t="s">
        <v>238</v>
      </c>
      <c r="B2" t="str">
        <f>=SUMPRODUCT((VLOOKUP(Invoices.C:C,Customers.A:C,3,FALSE)="Enterprise")*Invoices.I:I)</f>
        <v>288</v>
      </c>
      <c r="C2" t="s">
        <v>289</v>
      </c>
    </row>
    <row r="3">
      <c r="A3" t="s">
        <v>234</v>
      </c>
      <c r="B3" t="str">
        <f>=SUMPRODUCT((VLOOKUP(Invoices.C:C,Customers.A:C,3,FALSE)="SMB")*Invoices.I:I)</f>
        <v>290</v>
      </c>
      <c r="C3" t="s">
        <v>291</v>
      </c>
    </row>
    <row r="4">
      <c r="A4" t="s">
        <v>236</v>
      </c>
      <c r="B4" t="str">
        <f>=SUMPRODUCT((VLOOKUP(Invoices.C:C,Customers.A:C,3,FALSE)="Startup")*Invoices.I:I)</f>
        <v>292</v>
      </c>
      <c r="C4" t="s">
        <v>293</v>
      </c>
    </row>
  </sheetData>
</worksheet>
</file>

<file path=xl/worksheets/sheet8.xml><?xml version="1.0" encoding="utf-8"?>
<worksheet xmlns="http://schemas.openxmlformats.org/spreadsheetml/2006/main">
  <dimension ref="A1"/>
  <sheetViews>
    <sheetView workbookViewId="0"/>
  </sheetViews>
  <sheetData>
    <row r="1">
      <c r="A1" t="s">
        <v>2</v>
      </c>
      <c r="B1" t="s">
        <v>231</v>
      </c>
      <c r="C1" t="s">
        <v>232</v>
      </c>
      <c r="D1" t="s">
        <v>294</v>
      </c>
    </row>
    <row r="2">
      <c r="A2" t="s">
        <v>86</v>
      </c>
      <c r="B2" t="s">
        <v>295</v>
      </c>
      <c r="C2" t="s">
        <v>296</v>
      </c>
      <c r="D2" t="s">
        <v>297</v>
      </c>
    </row>
    <row r="3">
      <c r="A3" t="s">
        <v>11</v>
      </c>
      <c r="B3" t="s">
        <v>298</v>
      </c>
      <c r="C3" t="s">
        <v>299</v>
      </c>
      <c r="D3" t="s">
        <v>300</v>
      </c>
    </row>
    <row r="4">
      <c r="A4" t="s">
        <v>17</v>
      </c>
      <c r="B4" t="s">
        <v>301</v>
      </c>
      <c r="C4" t="s">
        <v>302</v>
      </c>
      <c r="D4" t="s">
        <v>303</v>
      </c>
    </row>
    <row r="5">
      <c r="A5" t="s">
        <v>23</v>
      </c>
      <c r="B5" t="s">
        <v>304</v>
      </c>
      <c r="C5" t="s">
        <v>305</v>
      </c>
      <c r="D5" t="s">
        <v>306</v>
      </c>
    </row>
    <row r="6">
      <c r="A6" t="s">
        <v>29</v>
      </c>
      <c r="B6" t="s">
        <v>307</v>
      </c>
      <c r="C6" t="s">
        <v>308</v>
      </c>
      <c r="D6" t="s">
        <v>309</v>
      </c>
    </row>
    <row r="7">
      <c r="A7" t="s">
        <v>35</v>
      </c>
      <c r="B7" t="s">
        <v>310</v>
      </c>
      <c r="C7" t="s">
        <v>311</v>
      </c>
      <c r="D7" t="s">
        <v>312</v>
      </c>
    </row>
    <row r="8">
      <c r="A8" t="s">
        <v>39</v>
      </c>
      <c r="B8" t="s">
        <v>313</v>
      </c>
      <c r="C8" t="s">
        <v>314</v>
      </c>
      <c r="D8" t="s">
        <v>315</v>
      </c>
    </row>
    <row r="9">
      <c r="A9" t="s">
        <v>43</v>
      </c>
      <c r="B9" t="s">
        <v>316</v>
      </c>
      <c r="C9" t="s">
        <v>317</v>
      </c>
      <c r="D9" t="s">
        <v>318</v>
      </c>
    </row>
    <row r="10">
      <c r="A10" t="s">
        <v>47</v>
      </c>
      <c r="B10" t="s">
        <v>319</v>
      </c>
      <c r="C10" t="s">
        <v>320</v>
      </c>
      <c r="D10" t="s">
        <v>321</v>
      </c>
    </row>
    <row r="11">
      <c r="A11" t="s">
        <v>51</v>
      </c>
      <c r="B11" t="s">
        <v>322</v>
      </c>
      <c r="C11" t="s">
        <v>323</v>
      </c>
      <c r="D11" t="s">
        <v>324</v>
      </c>
    </row>
    <row r="12">
      <c r="A12" t="s">
        <v>55</v>
      </c>
      <c r="B12" t="s">
        <v>325</v>
      </c>
      <c r="C12" t="s">
        <v>326</v>
      </c>
      <c r="D12" t="s">
        <v>327</v>
      </c>
    </row>
    <row r="13">
      <c r="A13" t="s">
        <v>59</v>
      </c>
      <c r="B13" t="s">
        <v>328</v>
      </c>
      <c r="C13" t="s">
        <v>329</v>
      </c>
      <c r="D13" t="s">
        <v>330</v>
      </c>
    </row>
    <row r="14">
      <c r="A14" t="s">
        <v>62</v>
      </c>
      <c r="B14" t="s">
        <v>331</v>
      </c>
      <c r="C14" t="s">
        <v>332</v>
      </c>
      <c r="D14" t="s">
        <v>333</v>
      </c>
    </row>
    <row r="15">
      <c r="A15" t="s">
        <v>65</v>
      </c>
      <c r="B15" t="s">
        <v>334</v>
      </c>
      <c r="C15" t="s">
        <v>335</v>
      </c>
      <c r="D15" t="s">
        <v>336</v>
      </c>
    </row>
    <row r="16">
      <c r="A16" t="s">
        <v>68</v>
      </c>
      <c r="B16" t="s">
        <v>337</v>
      </c>
      <c r="C16" t="s">
        <v>338</v>
      </c>
      <c r="D16" t="s">
        <v>339</v>
      </c>
    </row>
    <row r="17">
      <c r="A17" t="s">
        <v>71</v>
      </c>
      <c r="B17" t="s">
        <v>340</v>
      </c>
      <c r="C17" t="s">
        <v>341</v>
      </c>
      <c r="D17" t="s">
        <v>342</v>
      </c>
    </row>
    <row r="18">
      <c r="A18" t="s">
        <v>74</v>
      </c>
      <c r="B18" t="s">
        <v>343</v>
      </c>
      <c r="C18" t="s">
        <v>344</v>
      </c>
      <c r="D18" t="s">
        <v>345</v>
      </c>
    </row>
    <row r="19">
      <c r="A19" t="s">
        <v>77</v>
      </c>
      <c r="B19" t="s">
        <v>346</v>
      </c>
      <c r="C19" t="s">
        <v>347</v>
      </c>
      <c r="D19" t="s">
        <v>348</v>
      </c>
    </row>
    <row r="20">
      <c r="A20" t="s">
        <v>80</v>
      </c>
      <c r="B20" t="s">
        <v>349</v>
      </c>
      <c r="C20" t="s">
        <v>350</v>
      </c>
      <c r="D20" t="s">
        <v>351</v>
      </c>
    </row>
    <row r="21">
      <c r="A21" t="s">
        <v>83</v>
      </c>
      <c r="B21" t="s">
        <v>352</v>
      </c>
      <c r="C21" t="s">
        <v>353</v>
      </c>
      <c r="D21" t="s">
        <v>354</v>
      </c>
    </row>
  </sheetData>
</worksheet>
</file>

<file path=xl/worksheets/sheet9.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